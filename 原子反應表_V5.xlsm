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hidePivotFieldList="1" defaultThemeVersion="124226"/>
  <bookViews>
    <workbookView xWindow="9570" yWindow="0" windowWidth="19245" windowHeight="12435" activeTab="7"/>
  </bookViews>
  <sheets>
    <sheet name="群組" sheetId="8" r:id="rId1"/>
    <sheet name="硬度" sheetId="6" r:id="rId2"/>
    <sheet name="狀態" sheetId="7" state="hidden" r:id="rId3"/>
    <sheet name="原子" sheetId="9" r:id="rId4"/>
    <sheet name="工作表3" sheetId="11" r:id="rId5"/>
    <sheet name="AtomType" sheetId="16" r:id="rId6"/>
    <sheet name="RequestType" sheetId="15" r:id="rId7"/>
    <sheet name="工作表1" sheetId="17" r:id="rId8"/>
  </sheets>
  <functionGroups builtInGroupCount="17"/>
  <definedNames>
    <definedName name="狀態" localSheetId="5">狀態定義[狀態]</definedName>
    <definedName name="狀態">狀態定義[狀態]</definedName>
    <definedName name="硬度" localSheetId="5">硬度定義[硬度]</definedName>
    <definedName name="硬度">硬度定義[硬度]</definedName>
    <definedName name="群組" localSheetId="5">群組定義[群組]</definedName>
    <definedName name="群組">群組定義[群組]</definedName>
    <definedName name="賦予內容設定展開" localSheetId="2">狀態!$I$2:$T$22</definedName>
  </definedNames>
  <calcPr calcId="145621"/>
  <pivotCaches>
    <pivotCache cacheId="0" r:id="rId9"/>
    <pivotCache cacheId="1" r:id="rId10"/>
    <pivotCache cacheId="6" r:id="rId11"/>
  </pivotCaches>
</workbook>
</file>

<file path=xl/calcChain.xml><?xml version="1.0" encoding="utf-8"?>
<calcChain xmlns="http://schemas.openxmlformats.org/spreadsheetml/2006/main">
  <c r="G33" i="16" l="1"/>
  <c r="G32" i="16"/>
  <c r="G31" i="16"/>
  <c r="G30" i="16"/>
  <c r="G29" i="16"/>
  <c r="G28" i="16"/>
  <c r="G27" i="16"/>
  <c r="G26" i="16"/>
  <c r="G25" i="16"/>
  <c r="G24" i="16"/>
  <c r="G23" i="16"/>
  <c r="G22" i="16"/>
  <c r="G5" i="16"/>
  <c r="G4" i="16"/>
  <c r="G3" i="16"/>
  <c r="G2" i="16"/>
  <c r="O2" i="15"/>
  <c r="F33" i="16"/>
  <c r="F32" i="16"/>
  <c r="F31" i="16"/>
  <c r="F30" i="16"/>
  <c r="F29" i="16"/>
  <c r="F28" i="16"/>
  <c r="F27" i="16"/>
  <c r="F26" i="16"/>
  <c r="F25" i="16"/>
  <c r="F24" i="16"/>
  <c r="F23" i="16"/>
  <c r="F22" i="16"/>
  <c r="F5" i="16"/>
  <c r="F4" i="16"/>
  <c r="F3" i="16"/>
  <c r="F2" i="16"/>
  <c r="H5" i="16"/>
  <c r="H4" i="16"/>
  <c r="H3" i="16"/>
  <c r="H2" i="16"/>
  <c r="H26" i="16"/>
  <c r="H22" i="16"/>
  <c r="O3" i="15"/>
  <c r="H18" i="16"/>
  <c r="H33" i="16"/>
  <c r="H32" i="16"/>
  <c r="H31" i="16"/>
  <c r="H28" i="16"/>
  <c r="H23" i="16"/>
  <c r="H20" i="16"/>
  <c r="H29" i="16"/>
  <c r="H24" i="16"/>
  <c r="H21" i="16"/>
  <c r="H19" i="16"/>
  <c r="H27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25" i="16"/>
  <c r="H30" i="16"/>
  <c r="I58" i="15"/>
  <c r="I122" i="15"/>
  <c r="I186" i="15"/>
  <c r="I250" i="15"/>
  <c r="I59" i="15"/>
  <c r="I123" i="15"/>
  <c r="I187" i="15"/>
  <c r="I251" i="15"/>
  <c r="I60" i="15"/>
  <c r="I124" i="15"/>
  <c r="I188" i="15"/>
  <c r="I252" i="15"/>
  <c r="I61" i="15"/>
  <c r="I125" i="15"/>
  <c r="I189" i="15"/>
  <c r="I253" i="15"/>
  <c r="I62" i="15"/>
  <c r="I126" i="15"/>
  <c r="I190" i="15"/>
  <c r="I254" i="15"/>
  <c r="I63" i="15"/>
  <c r="I127" i="15"/>
  <c r="I191" i="15"/>
  <c r="I255" i="15"/>
  <c r="I64" i="15"/>
  <c r="I128" i="15"/>
  <c r="I192" i="15"/>
  <c r="I256" i="15"/>
  <c r="I65" i="15"/>
  <c r="I129" i="15"/>
  <c r="I193" i="15"/>
  <c r="I257" i="15"/>
  <c r="I2" i="15"/>
  <c r="I66" i="15"/>
  <c r="I130" i="15"/>
  <c r="I194" i="15"/>
  <c r="I3" i="15"/>
  <c r="I67" i="15"/>
  <c r="I131" i="15"/>
  <c r="I195" i="15"/>
  <c r="I4" i="15"/>
  <c r="I68" i="15"/>
  <c r="I132" i="15"/>
  <c r="I196" i="15"/>
  <c r="I5" i="15"/>
  <c r="I69" i="15"/>
  <c r="I133" i="15"/>
  <c r="I197" i="15"/>
  <c r="I6" i="15"/>
  <c r="I70" i="15"/>
  <c r="I134" i="15"/>
  <c r="I198" i="15"/>
  <c r="I7" i="15"/>
  <c r="I71" i="15"/>
  <c r="I135" i="15"/>
  <c r="I199" i="15"/>
  <c r="I8" i="15"/>
  <c r="I72" i="15"/>
  <c r="I136" i="15"/>
  <c r="I200" i="15"/>
  <c r="I9" i="15"/>
  <c r="I73" i="15"/>
  <c r="I137" i="15"/>
  <c r="I201" i="15"/>
  <c r="I10" i="15"/>
  <c r="I74" i="15"/>
  <c r="I138" i="15"/>
  <c r="I202" i="15"/>
  <c r="I11" i="15"/>
  <c r="I75" i="15"/>
  <c r="I139" i="15"/>
  <c r="I203" i="15"/>
  <c r="I12" i="15"/>
  <c r="I76" i="15"/>
  <c r="I140" i="15"/>
  <c r="I204" i="15"/>
  <c r="I13" i="15"/>
  <c r="I77" i="15"/>
  <c r="I141" i="15"/>
  <c r="I205" i="15"/>
  <c r="I14" i="15"/>
  <c r="I78" i="15"/>
  <c r="I142" i="15"/>
  <c r="I206" i="15"/>
  <c r="I15" i="15"/>
  <c r="I79" i="15"/>
  <c r="I143" i="15"/>
  <c r="I207" i="15"/>
  <c r="I16" i="15"/>
  <c r="I80" i="15"/>
  <c r="I144" i="15"/>
  <c r="I208" i="15"/>
  <c r="I17" i="15"/>
  <c r="I81" i="15"/>
  <c r="I145" i="15"/>
  <c r="I209" i="15"/>
  <c r="I18" i="15"/>
  <c r="I82" i="15"/>
  <c r="I146" i="15"/>
  <c r="I210" i="15"/>
  <c r="I19" i="15"/>
  <c r="I83" i="15"/>
  <c r="I147" i="15"/>
  <c r="I211" i="15"/>
  <c r="I20" i="15"/>
  <c r="I84" i="15"/>
  <c r="I148" i="15"/>
  <c r="I212" i="15"/>
  <c r="I21" i="15"/>
  <c r="I85" i="15"/>
  <c r="I149" i="15"/>
  <c r="I213" i="15"/>
  <c r="I22" i="15"/>
  <c r="I86" i="15"/>
  <c r="I150" i="15"/>
  <c r="I214" i="15"/>
  <c r="I23" i="15"/>
  <c r="I87" i="15"/>
  <c r="I151" i="15"/>
  <c r="I215" i="15"/>
  <c r="I24" i="15"/>
  <c r="I88" i="15"/>
  <c r="I152" i="15"/>
  <c r="I216" i="15"/>
  <c r="I25" i="15"/>
  <c r="I89" i="15"/>
  <c r="I153" i="15"/>
  <c r="I217" i="15"/>
  <c r="I26" i="15"/>
  <c r="I90" i="15"/>
  <c r="I154" i="15"/>
  <c r="I218" i="15"/>
  <c r="I27" i="15"/>
  <c r="I91" i="15"/>
  <c r="I155" i="15"/>
  <c r="I219" i="15"/>
  <c r="I28" i="15"/>
  <c r="I92" i="15"/>
  <c r="I156" i="15"/>
  <c r="I220" i="15"/>
  <c r="I29" i="15"/>
  <c r="I93" i="15"/>
  <c r="I157" i="15"/>
  <c r="I221" i="15"/>
  <c r="I30" i="15"/>
  <c r="I94" i="15"/>
  <c r="I158" i="15"/>
  <c r="I222" i="15"/>
  <c r="I31" i="15"/>
  <c r="I95" i="15"/>
  <c r="I159" i="15"/>
  <c r="I223" i="15"/>
  <c r="I32" i="15"/>
  <c r="I96" i="15"/>
  <c r="I160" i="15"/>
  <c r="I224" i="15"/>
  <c r="I33" i="15"/>
  <c r="I97" i="15"/>
  <c r="I161" i="15"/>
  <c r="I225" i="15"/>
  <c r="I34" i="15"/>
  <c r="I98" i="15"/>
  <c r="I162" i="15"/>
  <c r="I226" i="15"/>
  <c r="I35" i="15"/>
  <c r="I99" i="15"/>
  <c r="I163" i="15"/>
  <c r="I227" i="15"/>
  <c r="I36" i="15"/>
  <c r="I100" i="15"/>
  <c r="I164" i="15"/>
  <c r="I228" i="15"/>
  <c r="I37" i="15"/>
  <c r="I101" i="15"/>
  <c r="I165" i="15"/>
  <c r="I229" i="15"/>
  <c r="I38" i="15"/>
  <c r="I102" i="15"/>
  <c r="I166" i="15"/>
  <c r="I230" i="15"/>
  <c r="I39" i="15"/>
  <c r="I103" i="15"/>
  <c r="I167" i="15"/>
  <c r="I231" i="15"/>
  <c r="I40" i="15"/>
  <c r="I104" i="15"/>
  <c r="I168" i="15"/>
  <c r="I232" i="15"/>
  <c r="I41" i="15"/>
  <c r="I105" i="15"/>
  <c r="I169" i="15"/>
  <c r="I233" i="15"/>
  <c r="I42" i="15"/>
  <c r="I106" i="15"/>
  <c r="I170" i="15"/>
  <c r="I234" i="15"/>
  <c r="I43" i="15"/>
  <c r="I107" i="15"/>
  <c r="I171" i="15"/>
  <c r="I235" i="15"/>
  <c r="I44" i="15"/>
  <c r="I108" i="15"/>
  <c r="I172" i="15"/>
  <c r="I236" i="15"/>
  <c r="I45" i="15"/>
  <c r="I109" i="15"/>
  <c r="I173" i="15"/>
  <c r="I237" i="15"/>
  <c r="I46" i="15"/>
  <c r="I110" i="15"/>
  <c r="I174" i="15"/>
  <c r="I238" i="15"/>
  <c r="I47" i="15"/>
  <c r="I111" i="15"/>
  <c r="I175" i="15"/>
  <c r="I239" i="15"/>
  <c r="I48" i="15"/>
  <c r="I112" i="15"/>
  <c r="I176" i="15"/>
  <c r="I240" i="15"/>
  <c r="I49" i="15"/>
  <c r="I113" i="15"/>
  <c r="I177" i="15"/>
  <c r="I241" i="15"/>
  <c r="I50" i="15"/>
  <c r="I114" i="15"/>
  <c r="I178" i="15"/>
  <c r="I242" i="15"/>
  <c r="I51" i="15"/>
  <c r="I115" i="15"/>
  <c r="I179" i="15"/>
  <c r="I243" i="15"/>
  <c r="I52" i="15"/>
  <c r="I116" i="15"/>
  <c r="I180" i="15"/>
  <c r="I244" i="15"/>
  <c r="I53" i="15"/>
  <c r="I117" i="15"/>
  <c r="I181" i="15"/>
  <c r="I245" i="15"/>
  <c r="I54" i="15"/>
  <c r="I118" i="15"/>
  <c r="I182" i="15"/>
  <c r="I246" i="15"/>
  <c r="I55" i="15"/>
  <c r="I119" i="15"/>
  <c r="I183" i="15"/>
  <c r="I247" i="15"/>
  <c r="I56" i="15"/>
  <c r="I120" i="15"/>
  <c r="I184" i="15"/>
  <c r="I248" i="15"/>
  <c r="I57" i="15"/>
  <c r="I121" i="15"/>
  <c r="I185" i="15"/>
  <c r="I249" i="15"/>
  <c r="N2" i="15" l="1"/>
  <c r="N3" i="15"/>
  <c r="N4" i="15"/>
  <c r="N5" i="15"/>
  <c r="N6" i="15"/>
  <c r="N7" i="15"/>
  <c r="N8" i="15"/>
  <c r="N9" i="15"/>
  <c r="A1" i="15"/>
  <c r="B257" i="15"/>
  <c r="B254" i="15"/>
  <c r="B255" i="15"/>
  <c r="B256" i="15"/>
  <c r="B244" i="15"/>
  <c r="B245" i="15"/>
  <c r="B246" i="15"/>
  <c r="B247" i="15"/>
  <c r="B248" i="15"/>
  <c r="B249" i="15"/>
  <c r="B250" i="15"/>
  <c r="B251" i="15"/>
  <c r="B252" i="15"/>
  <c r="B253" i="15"/>
  <c r="B241" i="15"/>
  <c r="B242" i="15"/>
  <c r="B243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J1" i="16"/>
  <c r="C2" i="16" s="1"/>
  <c r="B33" i="16"/>
  <c r="I33" i="16" s="1"/>
  <c r="B32" i="16"/>
  <c r="I32" i="16" s="1"/>
  <c r="B31" i="16"/>
  <c r="I31" i="16" s="1"/>
  <c r="B30" i="16"/>
  <c r="I30" i="16" s="1"/>
  <c r="B27" i="16"/>
  <c r="I27" i="16" s="1"/>
  <c r="B26" i="16"/>
  <c r="I26" i="16" s="1"/>
  <c r="B29" i="16"/>
  <c r="I29" i="16" s="1"/>
  <c r="B28" i="16"/>
  <c r="I28" i="16" s="1"/>
  <c r="B23" i="16"/>
  <c r="I23" i="16" s="1"/>
  <c r="B22" i="16"/>
  <c r="I22" i="16" s="1"/>
  <c r="B25" i="16"/>
  <c r="I25" i="16" s="1"/>
  <c r="B24" i="16"/>
  <c r="I24" i="16" s="1"/>
  <c r="B19" i="16"/>
  <c r="I19" i="16" s="1"/>
  <c r="B18" i="16"/>
  <c r="I18" i="16" s="1"/>
  <c r="B21" i="16"/>
  <c r="I21" i="16" s="1"/>
  <c r="B20" i="16"/>
  <c r="I20" i="16" s="1"/>
  <c r="B17" i="16"/>
  <c r="I17" i="16" s="1"/>
  <c r="B16" i="16"/>
  <c r="I16" i="16" s="1"/>
  <c r="B15" i="16"/>
  <c r="B14" i="16"/>
  <c r="I14" i="16" s="1"/>
  <c r="B13" i="16"/>
  <c r="I13" i="16" s="1"/>
  <c r="B12" i="16"/>
  <c r="I12" i="16" s="1"/>
  <c r="B11" i="16"/>
  <c r="I11" i="16" s="1"/>
  <c r="B10" i="16"/>
  <c r="I10" i="16" s="1"/>
  <c r="B9" i="16"/>
  <c r="I9" i="16" s="1"/>
  <c r="B8" i="16"/>
  <c r="B7" i="16"/>
  <c r="I7" i="16" s="1"/>
  <c r="B6" i="16"/>
  <c r="I6" i="16" s="1"/>
  <c r="B5" i="16"/>
  <c r="I5" i="16" s="1"/>
  <c r="B4" i="16"/>
  <c r="I4" i="16" s="1"/>
  <c r="B3" i="16"/>
  <c r="I3" i="16" s="1"/>
  <c r="B2" i="16"/>
  <c r="I2" i="16" s="1"/>
  <c r="L249" i="15"/>
  <c r="L247" i="15"/>
  <c r="L245" i="15"/>
  <c r="L243" i="15"/>
  <c r="L241" i="15"/>
  <c r="L239" i="15"/>
  <c r="L237" i="15"/>
  <c r="L235" i="15"/>
  <c r="L233" i="15"/>
  <c r="L231" i="15"/>
  <c r="L229" i="15"/>
  <c r="L227" i="15"/>
  <c r="L225" i="15"/>
  <c r="L223" i="15"/>
  <c r="L221" i="15"/>
  <c r="L219" i="15"/>
  <c r="L217" i="15"/>
  <c r="L215" i="15"/>
  <c r="L213" i="15"/>
  <c r="L211" i="15"/>
  <c r="L209" i="15"/>
  <c r="L207" i="15"/>
  <c r="L203" i="15"/>
  <c r="L201" i="15"/>
  <c r="L197" i="15"/>
  <c r="L257" i="15"/>
  <c r="L253" i="15"/>
  <c r="J146" i="15"/>
  <c r="L185" i="15"/>
  <c r="L183" i="15"/>
  <c r="L181" i="15"/>
  <c r="L179" i="15"/>
  <c r="L177" i="15"/>
  <c r="L175" i="15"/>
  <c r="L173" i="15"/>
  <c r="L171" i="15"/>
  <c r="L169" i="15"/>
  <c r="L167" i="15"/>
  <c r="L165" i="15"/>
  <c r="L163" i="15"/>
  <c r="L161" i="15"/>
  <c r="L159" i="15"/>
  <c r="L157" i="15"/>
  <c r="L155" i="15"/>
  <c r="L153" i="15"/>
  <c r="L151" i="15"/>
  <c r="L149" i="15"/>
  <c r="L147" i="15"/>
  <c r="L145" i="15"/>
  <c r="L143" i="15"/>
  <c r="L141" i="15"/>
  <c r="L139" i="15"/>
  <c r="L137" i="15"/>
  <c r="L135" i="15"/>
  <c r="L133" i="15"/>
  <c r="L131" i="15"/>
  <c r="L193" i="15"/>
  <c r="L191" i="15"/>
  <c r="L189" i="15"/>
  <c r="L187" i="15"/>
  <c r="J242" i="15"/>
  <c r="J217" i="15"/>
  <c r="J153" i="15"/>
  <c r="J89" i="15"/>
  <c r="J184" i="15"/>
  <c r="J120" i="15"/>
  <c r="J247" i="15"/>
  <c r="J143" i="15"/>
  <c r="J79" i="15"/>
  <c r="J222" i="15"/>
  <c r="J150" i="15"/>
  <c r="J86" i="15"/>
  <c r="J246" i="15"/>
  <c r="J213" i="15"/>
  <c r="J149" i="15"/>
  <c r="J85" i="15"/>
  <c r="J180" i="15"/>
  <c r="J116" i="15"/>
  <c r="J243" i="15"/>
  <c r="J139" i="15"/>
  <c r="J75" i="15"/>
  <c r="J210" i="15"/>
  <c r="J138" i="15"/>
  <c r="J74" i="15"/>
  <c r="E19" i="16"/>
  <c r="D22" i="16"/>
  <c r="E18" i="16"/>
  <c r="D29" i="16"/>
  <c r="E13" i="16"/>
  <c r="E17" i="16"/>
  <c r="D13" i="16"/>
  <c r="D2" i="16"/>
  <c r="E10" i="16"/>
  <c r="J249" i="15"/>
  <c r="J216" i="15"/>
  <c r="J239" i="15"/>
  <c r="J245" i="15"/>
  <c r="J84" i="15"/>
  <c r="J170" i="15"/>
  <c r="D18" i="16"/>
  <c r="J161" i="15"/>
  <c r="J238" i="15"/>
  <c r="J93" i="15"/>
  <c r="J83" i="15"/>
  <c r="D32" i="16"/>
  <c r="L121" i="15"/>
  <c r="L119" i="15"/>
  <c r="L117" i="15"/>
  <c r="L115" i="15"/>
  <c r="L113" i="15"/>
  <c r="L111" i="15"/>
  <c r="L109" i="15"/>
  <c r="L107" i="15"/>
  <c r="L105" i="15"/>
  <c r="L103" i="15"/>
  <c r="L101" i="15"/>
  <c r="L99" i="15"/>
  <c r="L97" i="15"/>
  <c r="L95" i="15"/>
  <c r="L93" i="15"/>
  <c r="L91" i="15"/>
  <c r="L89" i="15"/>
  <c r="L87" i="15"/>
  <c r="L85" i="15"/>
  <c r="L83" i="15"/>
  <c r="L81" i="15"/>
  <c r="L79" i="15"/>
  <c r="L77" i="15"/>
  <c r="L75" i="15"/>
  <c r="L73" i="15"/>
  <c r="L71" i="15"/>
  <c r="L69" i="15"/>
  <c r="L67" i="15"/>
  <c r="L129" i="15"/>
  <c r="L127" i="15"/>
  <c r="L125" i="15"/>
  <c r="L123" i="15"/>
  <c r="J2" i="15"/>
  <c r="J226" i="15"/>
  <c r="J209" i="15"/>
  <c r="J145" i="15"/>
  <c r="J81" i="15"/>
  <c r="J176" i="15"/>
  <c r="J112" i="15"/>
  <c r="J223" i="15"/>
  <c r="J135" i="15"/>
  <c r="J71" i="15"/>
  <c r="J214" i="15"/>
  <c r="J142" i="15"/>
  <c r="J78" i="15"/>
  <c r="J230" i="15"/>
  <c r="J205" i="15"/>
  <c r="J141" i="15"/>
  <c r="J77" i="15"/>
  <c r="J172" i="15"/>
  <c r="J108" i="15"/>
  <c r="J219" i="15"/>
  <c r="J131" i="15"/>
  <c r="J67" i="15"/>
  <c r="J194" i="15"/>
  <c r="J130" i="15"/>
  <c r="J66" i="15"/>
  <c r="E21" i="16"/>
  <c r="D20" i="16"/>
  <c r="E20" i="16"/>
  <c r="D21" i="16"/>
  <c r="E7" i="16"/>
  <c r="E3" i="16"/>
  <c r="D6" i="16"/>
  <c r="D12" i="16"/>
  <c r="L198" i="15"/>
  <c r="L254" i="15"/>
  <c r="J228" i="15"/>
  <c r="J257" i="15"/>
  <c r="J193" i="15"/>
  <c r="J129" i="15"/>
  <c r="J240" i="15"/>
  <c r="J160" i="15"/>
  <c r="J191" i="15"/>
  <c r="J119" i="15"/>
  <c r="J232" i="15"/>
  <c r="J190" i="15"/>
  <c r="J224" i="15"/>
  <c r="J189" i="15"/>
  <c r="J236" i="15"/>
  <c r="J92" i="15"/>
  <c r="J115" i="15"/>
  <c r="J114" i="15"/>
  <c r="D23" i="16"/>
  <c r="E14" i="16"/>
  <c r="J121" i="15"/>
  <c r="J175" i="15"/>
  <c r="J118" i="15"/>
  <c r="J117" i="15"/>
  <c r="J107" i="15"/>
  <c r="E26" i="16"/>
  <c r="E16" i="16"/>
  <c r="J179" i="15"/>
  <c r="J248" i="15"/>
  <c r="J158" i="15"/>
  <c r="J188" i="15"/>
  <c r="E25" i="16"/>
  <c r="E9" i="16"/>
  <c r="L57" i="15"/>
  <c r="L55" i="15"/>
  <c r="L53" i="15"/>
  <c r="L51" i="15"/>
  <c r="L49" i="15"/>
  <c r="L47" i="15"/>
  <c r="L45" i="15"/>
  <c r="L43" i="15"/>
  <c r="L41" i="15"/>
  <c r="L39" i="15"/>
  <c r="L37" i="15"/>
  <c r="L35" i="15"/>
  <c r="L33" i="15"/>
  <c r="L31" i="15"/>
  <c r="L29" i="15"/>
  <c r="L27" i="15"/>
  <c r="L25" i="15"/>
  <c r="L23" i="15"/>
  <c r="L21" i="15"/>
  <c r="L19" i="15"/>
  <c r="L17" i="15"/>
  <c r="L15" i="15"/>
  <c r="L13" i="15"/>
  <c r="L11" i="15"/>
  <c r="L9" i="15"/>
  <c r="L7" i="15"/>
  <c r="L5" i="15"/>
  <c r="L3" i="15"/>
  <c r="L65" i="15"/>
  <c r="L63" i="15"/>
  <c r="L61" i="15"/>
  <c r="L59" i="15"/>
  <c r="J252" i="15"/>
  <c r="J202" i="15"/>
  <c r="J201" i="15"/>
  <c r="J137" i="15"/>
  <c r="J73" i="15"/>
  <c r="J168" i="15"/>
  <c r="J104" i="15"/>
  <c r="J199" i="15"/>
  <c r="J127" i="15"/>
  <c r="J256" i="15"/>
  <c r="J198" i="15"/>
  <c r="J134" i="15"/>
  <c r="J70" i="15"/>
  <c r="J206" i="15"/>
  <c r="J197" i="15"/>
  <c r="J133" i="15"/>
  <c r="J69" i="15"/>
  <c r="J164" i="15"/>
  <c r="J100" i="15"/>
  <c r="J195" i="15"/>
  <c r="J123" i="15"/>
  <c r="J220" i="15"/>
  <c r="J186" i="15"/>
  <c r="J122" i="15"/>
  <c r="E33" i="16"/>
  <c r="D27" i="16"/>
  <c r="E32" i="16"/>
  <c r="D26" i="16"/>
  <c r="E2" i="16"/>
  <c r="E6" i="16"/>
  <c r="D10" i="16"/>
  <c r="D7" i="16"/>
  <c r="L218" i="15"/>
  <c r="L212" i="15"/>
  <c r="L208" i="15"/>
  <c r="L206" i="15"/>
  <c r="L202" i="15"/>
  <c r="L194" i="15"/>
  <c r="L252" i="15"/>
  <c r="J96" i="15"/>
  <c r="J126" i="15"/>
  <c r="J253" i="15"/>
  <c r="J156" i="15"/>
  <c r="J187" i="15"/>
  <c r="J235" i="15"/>
  <c r="E31" i="16"/>
  <c r="D28" i="16"/>
  <c r="D15" i="16"/>
  <c r="J185" i="15"/>
  <c r="J111" i="15"/>
  <c r="J255" i="15"/>
  <c r="J212" i="15"/>
  <c r="J211" i="15"/>
  <c r="D25" i="16"/>
  <c r="D11" i="16"/>
  <c r="J192" i="15"/>
  <c r="J221" i="15"/>
  <c r="J218" i="15"/>
  <c r="D33" i="16"/>
  <c r="L248" i="15"/>
  <c r="L246" i="15"/>
  <c r="L244" i="15"/>
  <c r="L242" i="15"/>
  <c r="L240" i="15"/>
  <c r="L238" i="15"/>
  <c r="L236" i="15"/>
  <c r="L234" i="15"/>
  <c r="L232" i="15"/>
  <c r="L230" i="15"/>
  <c r="L228" i="15"/>
  <c r="L226" i="15"/>
  <c r="L224" i="15"/>
  <c r="L222" i="15"/>
  <c r="L220" i="15"/>
  <c r="L216" i="15"/>
  <c r="L214" i="15"/>
  <c r="L210" i="15"/>
  <c r="L204" i="15"/>
  <c r="L200" i="15"/>
  <c r="L196" i="15"/>
  <c r="L256" i="15"/>
  <c r="L250" i="15"/>
  <c r="J125" i="15"/>
  <c r="J178" i="15"/>
  <c r="E30" i="16"/>
  <c r="D3" i="16"/>
  <c r="J251" i="15"/>
  <c r="J152" i="15"/>
  <c r="J182" i="15"/>
  <c r="J181" i="15"/>
  <c r="J171" i="15"/>
  <c r="J106" i="15"/>
  <c r="E12" i="16"/>
  <c r="J97" i="15"/>
  <c r="J87" i="15"/>
  <c r="J157" i="15"/>
  <c r="J147" i="15"/>
  <c r="E5" i="16"/>
  <c r="L184" i="15"/>
  <c r="L182" i="15"/>
  <c r="L180" i="15"/>
  <c r="L178" i="15"/>
  <c r="L176" i="15"/>
  <c r="L174" i="15"/>
  <c r="L172" i="15"/>
  <c r="L170" i="15"/>
  <c r="L168" i="15"/>
  <c r="L166" i="15"/>
  <c r="L164" i="15"/>
  <c r="L162" i="15"/>
  <c r="L160" i="15"/>
  <c r="L158" i="15"/>
  <c r="L156" i="15"/>
  <c r="L154" i="15"/>
  <c r="L152" i="15"/>
  <c r="L150" i="15"/>
  <c r="L148" i="15"/>
  <c r="L146" i="15"/>
  <c r="L144" i="15"/>
  <c r="L142" i="15"/>
  <c r="L140" i="15"/>
  <c r="L138" i="15"/>
  <c r="L136" i="15"/>
  <c r="L134" i="15"/>
  <c r="L132" i="15"/>
  <c r="L130" i="15"/>
  <c r="L192" i="15"/>
  <c r="L190" i="15"/>
  <c r="L188" i="15"/>
  <c r="L186" i="15"/>
  <c r="J88" i="15"/>
  <c r="J148" i="15"/>
  <c r="E27" i="16"/>
  <c r="D14" i="16"/>
  <c r="J128" i="15"/>
  <c r="J183" i="15"/>
  <c r="J244" i="15"/>
  <c r="E24" i="16"/>
  <c r="L120" i="15"/>
  <c r="L118" i="15"/>
  <c r="L116" i="15"/>
  <c r="L114" i="15"/>
  <c r="L112" i="15"/>
  <c r="L110" i="15"/>
  <c r="L108" i="15"/>
  <c r="L106" i="15"/>
  <c r="L104" i="15"/>
  <c r="L102" i="15"/>
  <c r="L100" i="15"/>
  <c r="L98" i="15"/>
  <c r="L96" i="15"/>
  <c r="L94" i="15"/>
  <c r="L92" i="15"/>
  <c r="L90" i="15"/>
  <c r="L88" i="15"/>
  <c r="L86" i="15"/>
  <c r="L84" i="15"/>
  <c r="L82" i="15"/>
  <c r="L80" i="15"/>
  <c r="L78" i="15"/>
  <c r="L76" i="15"/>
  <c r="L74" i="15"/>
  <c r="L72" i="15"/>
  <c r="L70" i="15"/>
  <c r="L68" i="15"/>
  <c r="L66" i="15"/>
  <c r="L128" i="15"/>
  <c r="L126" i="15"/>
  <c r="L124" i="15"/>
  <c r="L122" i="15"/>
  <c r="J227" i="15"/>
  <c r="J241" i="15"/>
  <c r="J177" i="15"/>
  <c r="J113" i="15"/>
  <c r="J208" i="15"/>
  <c r="J144" i="15"/>
  <c r="J80" i="15"/>
  <c r="J167" i="15"/>
  <c r="J103" i="15"/>
  <c r="J215" i="15"/>
  <c r="J174" i="15"/>
  <c r="J110" i="15"/>
  <c r="J231" i="15"/>
  <c r="J237" i="15"/>
  <c r="J173" i="15"/>
  <c r="J109" i="15"/>
  <c r="J204" i="15"/>
  <c r="J140" i="15"/>
  <c r="J76" i="15"/>
  <c r="J163" i="15"/>
  <c r="J99" i="15"/>
  <c r="J250" i="15"/>
  <c r="J162" i="15"/>
  <c r="J98" i="15"/>
  <c r="E29" i="16"/>
  <c r="D31" i="16"/>
  <c r="E28" i="16"/>
  <c r="D30" i="16"/>
  <c r="E11" i="16"/>
  <c r="E15" i="16"/>
  <c r="D16" i="16"/>
  <c r="D8" i="16"/>
  <c r="J225" i="15"/>
  <c r="J151" i="15"/>
  <c r="J94" i="15"/>
  <c r="J124" i="15"/>
  <c r="J82" i="15"/>
  <c r="D5" i="16"/>
  <c r="L56" i="15"/>
  <c r="L54" i="15"/>
  <c r="L52" i="15"/>
  <c r="L50" i="15"/>
  <c r="L48" i="15"/>
  <c r="L46" i="15"/>
  <c r="L44" i="15"/>
  <c r="L42" i="15"/>
  <c r="L40" i="15"/>
  <c r="L38" i="15"/>
  <c r="L36" i="15"/>
  <c r="L34" i="15"/>
  <c r="L32" i="15"/>
  <c r="L30" i="15"/>
  <c r="L28" i="15"/>
  <c r="L26" i="15"/>
  <c r="L24" i="15"/>
  <c r="L22" i="15"/>
  <c r="L20" i="15"/>
  <c r="L18" i="15"/>
  <c r="L16" i="15"/>
  <c r="L14" i="15"/>
  <c r="L12" i="15"/>
  <c r="L10" i="15"/>
  <c r="L8" i="15"/>
  <c r="L6" i="15"/>
  <c r="L4" i="15"/>
  <c r="L2" i="15"/>
  <c r="L64" i="15"/>
  <c r="L62" i="15"/>
  <c r="L60" i="15"/>
  <c r="L58" i="15"/>
  <c r="J203" i="15"/>
  <c r="J233" i="15"/>
  <c r="J169" i="15"/>
  <c r="J105" i="15"/>
  <c r="J200" i="15"/>
  <c r="J136" i="15"/>
  <c r="J72" i="15"/>
  <c r="J159" i="15"/>
  <c r="J95" i="15"/>
  <c r="J254" i="15"/>
  <c r="J166" i="15"/>
  <c r="J102" i="15"/>
  <c r="J207" i="15"/>
  <c r="J229" i="15"/>
  <c r="J165" i="15"/>
  <c r="J101" i="15"/>
  <c r="J196" i="15"/>
  <c r="J132" i="15"/>
  <c r="J68" i="15"/>
  <c r="J155" i="15"/>
  <c r="J91" i="15"/>
  <c r="J234" i="15"/>
  <c r="J154" i="15"/>
  <c r="J90" i="15"/>
  <c r="E23" i="16"/>
  <c r="D19" i="16"/>
  <c r="E22" i="16"/>
  <c r="D24" i="16"/>
  <c r="E4" i="16"/>
  <c r="E8" i="16"/>
  <c r="D4" i="16"/>
  <c r="D9" i="16"/>
  <c r="L205" i="15"/>
  <c r="L199" i="15"/>
  <c r="L195" i="15"/>
  <c r="L255" i="15"/>
  <c r="L251" i="15"/>
  <c r="D17" i="16"/>
  <c r="K66" i="15" l="1"/>
  <c r="K74" i="15"/>
  <c r="K82" i="15"/>
  <c r="K90" i="15"/>
  <c r="K98" i="15"/>
  <c r="K106" i="15"/>
  <c r="K114" i="15"/>
  <c r="K122" i="15"/>
  <c r="K130" i="15"/>
  <c r="K138" i="15"/>
  <c r="K146" i="15"/>
  <c r="K154" i="15"/>
  <c r="K162" i="15"/>
  <c r="K170" i="15"/>
  <c r="K178" i="15"/>
  <c r="K186" i="15"/>
  <c r="K194" i="15"/>
  <c r="K210" i="15"/>
  <c r="K218" i="15"/>
  <c r="K234" i="15"/>
  <c r="K250" i="15"/>
  <c r="K211" i="15"/>
  <c r="K235" i="15"/>
  <c r="K220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87" i="15"/>
  <c r="K195" i="15"/>
  <c r="K219" i="15"/>
  <c r="K243" i="15"/>
  <c r="K244" i="15"/>
  <c r="K68" i="15"/>
  <c r="K76" i="15"/>
  <c r="K84" i="15"/>
  <c r="K92" i="15"/>
  <c r="K100" i="15"/>
  <c r="K108" i="15"/>
  <c r="K116" i="15"/>
  <c r="K124" i="15"/>
  <c r="K132" i="15"/>
  <c r="K140" i="15"/>
  <c r="K148" i="15"/>
  <c r="K156" i="15"/>
  <c r="K164" i="15"/>
  <c r="K172" i="15"/>
  <c r="K180" i="15"/>
  <c r="K188" i="15"/>
  <c r="K196" i="15"/>
  <c r="K204" i="15"/>
  <c r="K212" i="15"/>
  <c r="K236" i="15"/>
  <c r="K69" i="15"/>
  <c r="K77" i="15"/>
  <c r="K85" i="15"/>
  <c r="K93" i="15"/>
  <c r="K101" i="15"/>
  <c r="K109" i="15"/>
  <c r="K117" i="15"/>
  <c r="K125" i="15"/>
  <c r="K133" i="15"/>
  <c r="K141" i="15"/>
  <c r="K149" i="15"/>
  <c r="K157" i="15"/>
  <c r="K165" i="15"/>
  <c r="K173" i="15"/>
  <c r="K181" i="15"/>
  <c r="K189" i="15"/>
  <c r="K197" i="15"/>
  <c r="K205" i="15"/>
  <c r="K213" i="15"/>
  <c r="K221" i="15"/>
  <c r="K229" i="15"/>
  <c r="K237" i="15"/>
  <c r="K245" i="15"/>
  <c r="K253" i="15"/>
  <c r="K206" i="15"/>
  <c r="K230" i="15"/>
  <c r="K246" i="15"/>
  <c r="K183" i="15"/>
  <c r="K207" i="15"/>
  <c r="K231" i="15"/>
  <c r="K255" i="15"/>
  <c r="K224" i="15"/>
  <c r="K70" i="15"/>
  <c r="K78" i="15"/>
  <c r="K86" i="15"/>
  <c r="K94" i="15"/>
  <c r="K102" i="15"/>
  <c r="K110" i="15"/>
  <c r="K118" i="15"/>
  <c r="K126" i="15"/>
  <c r="K134" i="15"/>
  <c r="K142" i="15"/>
  <c r="K150" i="15"/>
  <c r="K158" i="15"/>
  <c r="K166" i="15"/>
  <c r="K174" i="15"/>
  <c r="K182" i="15"/>
  <c r="K190" i="15"/>
  <c r="K198" i="15"/>
  <c r="K214" i="15"/>
  <c r="K222" i="15"/>
  <c r="K238" i="15"/>
  <c r="K254" i="15"/>
  <c r="K215" i="15"/>
  <c r="K239" i="15"/>
  <c r="K232" i="15"/>
  <c r="K256" i="15"/>
  <c r="K71" i="15"/>
  <c r="K79" i="15"/>
  <c r="K87" i="15"/>
  <c r="K95" i="15"/>
  <c r="K103" i="15"/>
  <c r="K111" i="15"/>
  <c r="K119" i="15"/>
  <c r="K127" i="15"/>
  <c r="K135" i="15"/>
  <c r="K143" i="15"/>
  <c r="K151" i="15"/>
  <c r="K159" i="15"/>
  <c r="K167" i="15"/>
  <c r="K175" i="15"/>
  <c r="K191" i="15"/>
  <c r="K199" i="15"/>
  <c r="K223" i="15"/>
  <c r="K247" i="15"/>
  <c r="K248" i="15"/>
  <c r="K72" i="15"/>
  <c r="K80" i="15"/>
  <c r="K88" i="15"/>
  <c r="K96" i="15"/>
  <c r="K104" i="15"/>
  <c r="K112" i="15"/>
  <c r="K120" i="15"/>
  <c r="K128" i="15"/>
  <c r="K136" i="15"/>
  <c r="K144" i="15"/>
  <c r="K152" i="15"/>
  <c r="K160" i="15"/>
  <c r="K168" i="15"/>
  <c r="K176" i="15"/>
  <c r="K184" i="15"/>
  <c r="K192" i="15"/>
  <c r="K200" i="15"/>
  <c r="K208" i="15"/>
  <c r="K216" i="15"/>
  <c r="K240" i="15"/>
  <c r="K73" i="15"/>
  <c r="K81" i="15"/>
  <c r="K89" i="15"/>
  <c r="K97" i="15"/>
  <c r="K105" i="15"/>
  <c r="K113" i="15"/>
  <c r="K121" i="15"/>
  <c r="K129" i="15"/>
  <c r="K137" i="15"/>
  <c r="K145" i="15"/>
  <c r="K153" i="15"/>
  <c r="K161" i="15"/>
  <c r="K169" i="15"/>
  <c r="K177" i="15"/>
  <c r="K185" i="15"/>
  <c r="K193" i="15"/>
  <c r="K201" i="15"/>
  <c r="K209" i="15"/>
  <c r="K217" i="15"/>
  <c r="K225" i="15"/>
  <c r="K233" i="15"/>
  <c r="K241" i="15"/>
  <c r="K249" i="15"/>
  <c r="K257" i="15"/>
  <c r="K202" i="15"/>
  <c r="K226" i="15"/>
  <c r="K242" i="15"/>
  <c r="K179" i="15"/>
  <c r="K203" i="15"/>
  <c r="K227" i="15"/>
  <c r="K251" i="15"/>
  <c r="K228" i="15"/>
  <c r="K252" i="15"/>
  <c r="G151" i="15"/>
  <c r="G143" i="15"/>
  <c r="G87" i="15"/>
  <c r="G163" i="15"/>
  <c r="G103" i="15"/>
  <c r="G79" i="15"/>
  <c r="G155" i="15"/>
  <c r="G170" i="15"/>
  <c r="G162" i="15"/>
  <c r="G149" i="15"/>
  <c r="G141" i="15"/>
  <c r="G125" i="15"/>
  <c r="G167" i="15"/>
  <c r="H228" i="15"/>
  <c r="G109" i="15"/>
  <c r="G85" i="15"/>
  <c r="G169" i="15"/>
  <c r="G153" i="15"/>
  <c r="G214" i="15"/>
  <c r="G116" i="15"/>
  <c r="G100" i="15"/>
  <c r="G92" i="15"/>
  <c r="G221" i="15"/>
  <c r="G213" i="15"/>
  <c r="G205" i="15"/>
  <c r="G189" i="15"/>
  <c r="H212" i="15"/>
  <c r="G204" i="15"/>
  <c r="H188" i="15"/>
  <c r="G166" i="15"/>
  <c r="G137" i="15"/>
  <c r="G113" i="15"/>
  <c r="G97" i="15"/>
  <c r="G89" i="15"/>
  <c r="G73" i="15"/>
  <c r="G226" i="15"/>
  <c r="G145" i="15"/>
  <c r="G129" i="15"/>
  <c r="G121" i="15"/>
  <c r="G105" i="15"/>
  <c r="G144" i="15"/>
  <c r="G136" i="15"/>
  <c r="G128" i="15"/>
  <c r="G112" i="15"/>
  <c r="G104" i="15"/>
  <c r="G96" i="15"/>
  <c r="G88" i="15"/>
  <c r="G80" i="15"/>
  <c r="G72" i="15"/>
  <c r="G154" i="15"/>
  <c r="G223" i="15"/>
  <c r="G215" i="15"/>
  <c r="G207" i="15"/>
  <c r="G199" i="15"/>
  <c r="G117" i="15"/>
  <c r="G101" i="15"/>
  <c r="G77" i="15"/>
  <c r="G161" i="15"/>
  <c r="G222" i="15"/>
  <c r="H206" i="15"/>
  <c r="G198" i="15"/>
  <c r="G190" i="15"/>
  <c r="G182" i="15"/>
  <c r="G174" i="15"/>
  <c r="H233" i="15"/>
  <c r="H248" i="15"/>
  <c r="C256" i="15"/>
  <c r="H237" i="15"/>
  <c r="H252" i="15"/>
  <c r="H244" i="15"/>
  <c r="C232" i="15"/>
  <c r="F254" i="15"/>
  <c r="C216" i="15"/>
  <c r="C248" i="15"/>
  <c r="C247" i="15"/>
  <c r="C240" i="15"/>
  <c r="C224" i="15"/>
  <c r="C212" i="15"/>
  <c r="C239" i="15"/>
  <c r="C231" i="15"/>
  <c r="C255" i="15"/>
  <c r="C223" i="15"/>
  <c r="C243" i="15"/>
  <c r="C227" i="15"/>
  <c r="C252" i="15"/>
  <c r="C236" i="15"/>
  <c r="C220" i="15"/>
  <c r="C251" i="15"/>
  <c r="C235" i="15"/>
  <c r="C219" i="15"/>
  <c r="F250" i="15"/>
  <c r="C244" i="15"/>
  <c r="C228" i="15"/>
  <c r="C211" i="15"/>
  <c r="C257" i="15"/>
  <c r="C249" i="15"/>
  <c r="C241" i="15"/>
  <c r="C233" i="15"/>
  <c r="C225" i="15"/>
  <c r="C217" i="15"/>
  <c r="C209" i="15"/>
  <c r="C201" i="15"/>
  <c r="C193" i="15"/>
  <c r="C185" i="15"/>
  <c r="C177" i="15"/>
  <c r="C169" i="15"/>
  <c r="C161" i="15"/>
  <c r="C153" i="15"/>
  <c r="C145" i="15"/>
  <c r="C137" i="15"/>
  <c r="C129" i="15"/>
  <c r="C121" i="15"/>
  <c r="C113" i="15"/>
  <c r="C105" i="15"/>
  <c r="C97" i="15"/>
  <c r="C89" i="15"/>
  <c r="C81" i="15"/>
  <c r="C73" i="15"/>
  <c r="C208" i="15"/>
  <c r="C200" i="15"/>
  <c r="C192" i="15"/>
  <c r="C184" i="15"/>
  <c r="C176" i="15"/>
  <c r="C168" i="15"/>
  <c r="C160" i="15"/>
  <c r="C152" i="15"/>
  <c r="C144" i="15"/>
  <c r="C136" i="15"/>
  <c r="C128" i="15"/>
  <c r="C120" i="15"/>
  <c r="C112" i="15"/>
  <c r="C104" i="15"/>
  <c r="C96" i="15"/>
  <c r="C88" i="15"/>
  <c r="C80" i="15"/>
  <c r="C72" i="15"/>
  <c r="C215" i="15"/>
  <c r="C207" i="15"/>
  <c r="C199" i="15"/>
  <c r="C191" i="15"/>
  <c r="C183" i="15"/>
  <c r="C175" i="15"/>
  <c r="C167" i="15"/>
  <c r="C159" i="15"/>
  <c r="C151" i="15"/>
  <c r="C143" i="15"/>
  <c r="C135" i="15"/>
  <c r="C127" i="15"/>
  <c r="C119" i="15"/>
  <c r="C111" i="15"/>
  <c r="C103" i="15"/>
  <c r="C95" i="15"/>
  <c r="C87" i="15"/>
  <c r="C79" i="15"/>
  <c r="C71" i="15"/>
  <c r="C254" i="15"/>
  <c r="C246" i="15"/>
  <c r="C238" i="15"/>
  <c r="C230" i="15"/>
  <c r="C222" i="15"/>
  <c r="C214" i="15"/>
  <c r="C206" i="15"/>
  <c r="C198" i="15"/>
  <c r="C190" i="15"/>
  <c r="C182" i="15"/>
  <c r="C174" i="15"/>
  <c r="C166" i="15"/>
  <c r="C158" i="15"/>
  <c r="C150" i="15"/>
  <c r="C142" i="15"/>
  <c r="C134" i="15"/>
  <c r="C126" i="15"/>
  <c r="C118" i="15"/>
  <c r="C110" i="15"/>
  <c r="C102" i="15"/>
  <c r="C94" i="15"/>
  <c r="C86" i="15"/>
  <c r="C78" i="15"/>
  <c r="C70" i="15"/>
  <c r="F255" i="15"/>
  <c r="C253" i="15"/>
  <c r="C245" i="15"/>
  <c r="C237" i="15"/>
  <c r="C229" i="15"/>
  <c r="C221" i="15"/>
  <c r="C213" i="15"/>
  <c r="C205" i="15"/>
  <c r="C197" i="15"/>
  <c r="C189" i="15"/>
  <c r="C181" i="15"/>
  <c r="C173" i="15"/>
  <c r="C165" i="15"/>
  <c r="C157" i="15"/>
  <c r="C149" i="15"/>
  <c r="C141" i="15"/>
  <c r="C133" i="15"/>
  <c r="C125" i="15"/>
  <c r="C117" i="15"/>
  <c r="C109" i="15"/>
  <c r="C101" i="15"/>
  <c r="C93" i="15"/>
  <c r="C85" i="15"/>
  <c r="C77" i="15"/>
  <c r="C69" i="15"/>
  <c r="C204" i="15"/>
  <c r="C196" i="15"/>
  <c r="C188" i="15"/>
  <c r="C180" i="15"/>
  <c r="C172" i="15"/>
  <c r="C164" i="15"/>
  <c r="C156" i="15"/>
  <c r="C148" i="15"/>
  <c r="C140" i="15"/>
  <c r="C132" i="15"/>
  <c r="C124" i="15"/>
  <c r="C116" i="15"/>
  <c r="C108" i="15"/>
  <c r="C100" i="15"/>
  <c r="C92" i="15"/>
  <c r="C84" i="15"/>
  <c r="C76" i="15"/>
  <c r="C68" i="15"/>
  <c r="C203" i="15"/>
  <c r="C195" i="15"/>
  <c r="C187" i="15"/>
  <c r="C179" i="15"/>
  <c r="C171" i="15"/>
  <c r="C163" i="15"/>
  <c r="C155" i="15"/>
  <c r="C147" i="15"/>
  <c r="C139" i="15"/>
  <c r="C131" i="15"/>
  <c r="C123" i="15"/>
  <c r="C115" i="15"/>
  <c r="C107" i="15"/>
  <c r="C99" i="15"/>
  <c r="C91" i="15"/>
  <c r="C83" i="15"/>
  <c r="C75" i="15"/>
  <c r="C67" i="15"/>
  <c r="C250" i="15"/>
  <c r="C242" i="15"/>
  <c r="C234" i="15"/>
  <c r="C226" i="15"/>
  <c r="C218" i="15"/>
  <c r="C210" i="15"/>
  <c r="C202" i="15"/>
  <c r="C194" i="15"/>
  <c r="C186" i="15"/>
  <c r="C178" i="15"/>
  <c r="C170" i="15"/>
  <c r="C162" i="15"/>
  <c r="C154" i="15"/>
  <c r="C146" i="15"/>
  <c r="C138" i="15"/>
  <c r="C130" i="15"/>
  <c r="C122" i="15"/>
  <c r="C114" i="15"/>
  <c r="C106" i="15"/>
  <c r="C98" i="15"/>
  <c r="C90" i="15"/>
  <c r="C82" i="15"/>
  <c r="C74" i="15"/>
  <c r="C66" i="15"/>
  <c r="H256" i="15"/>
  <c r="F252" i="15"/>
  <c r="F244" i="15"/>
  <c r="F236" i="15"/>
  <c r="F228" i="15"/>
  <c r="F220" i="15"/>
  <c r="F212" i="15"/>
  <c r="F204" i="15"/>
  <c r="F196" i="15"/>
  <c r="F188" i="15"/>
  <c r="F180" i="15"/>
  <c r="F172" i="15"/>
  <c r="F164" i="15"/>
  <c r="F156" i="15"/>
  <c r="F148" i="15"/>
  <c r="F140" i="15"/>
  <c r="F132" i="15"/>
  <c r="F124" i="15"/>
  <c r="F116" i="15"/>
  <c r="F108" i="15"/>
  <c r="F100" i="15"/>
  <c r="F92" i="15"/>
  <c r="F84" i="15"/>
  <c r="F76" i="15"/>
  <c r="F68" i="15"/>
  <c r="G252" i="15"/>
  <c r="G244" i="15"/>
  <c r="G236" i="15"/>
  <c r="G228" i="15"/>
  <c r="G220" i="15"/>
  <c r="G212" i="15"/>
  <c r="G196" i="15"/>
  <c r="G188" i="15"/>
  <c r="G180" i="15"/>
  <c r="G172" i="15"/>
  <c r="G164" i="15"/>
  <c r="G156" i="15"/>
  <c r="G148" i="15"/>
  <c r="G140" i="15"/>
  <c r="G132" i="15"/>
  <c r="G124" i="15"/>
  <c r="G108" i="15"/>
  <c r="G84" i="15"/>
  <c r="G76" i="15"/>
  <c r="G68" i="15"/>
  <c r="H236" i="15"/>
  <c r="H218" i="15"/>
  <c r="H202" i="15"/>
  <c r="H183" i="15"/>
  <c r="F251" i="15"/>
  <c r="F243" i="15"/>
  <c r="F235" i="15"/>
  <c r="F227" i="15"/>
  <c r="F219" i="15"/>
  <c r="F211" i="15"/>
  <c r="F203" i="15"/>
  <c r="F195" i="15"/>
  <c r="F187" i="15"/>
  <c r="F179" i="15"/>
  <c r="F171" i="15"/>
  <c r="F163" i="15"/>
  <c r="F155" i="15"/>
  <c r="F147" i="15"/>
  <c r="F139" i="15"/>
  <c r="F131" i="15"/>
  <c r="F123" i="15"/>
  <c r="F115" i="15"/>
  <c r="F107" i="15"/>
  <c r="F99" i="15"/>
  <c r="F91" i="15"/>
  <c r="F83" i="15"/>
  <c r="F75" i="15"/>
  <c r="F67" i="15"/>
  <c r="G251" i="15"/>
  <c r="G243" i="15"/>
  <c r="G235" i="15"/>
  <c r="G227" i="15"/>
  <c r="G219" i="15"/>
  <c r="G211" i="15"/>
  <c r="G203" i="15"/>
  <c r="G195" i="15"/>
  <c r="G187" i="15"/>
  <c r="G179" i="15"/>
  <c r="G171" i="15"/>
  <c r="G147" i="15"/>
  <c r="G139" i="15"/>
  <c r="G131" i="15"/>
  <c r="G123" i="15"/>
  <c r="G115" i="15"/>
  <c r="G107" i="15"/>
  <c r="G99" i="15"/>
  <c r="G91" i="15"/>
  <c r="G83" i="15"/>
  <c r="G75" i="15"/>
  <c r="G67" i="15"/>
  <c r="H251" i="15"/>
  <c r="H243" i="15"/>
  <c r="H235" i="15"/>
  <c r="H226" i="15"/>
  <c r="H215" i="15"/>
  <c r="H201" i="15"/>
  <c r="H177" i="15"/>
  <c r="F242" i="15"/>
  <c r="F234" i="15"/>
  <c r="F226" i="15"/>
  <c r="F218" i="15"/>
  <c r="F210" i="15"/>
  <c r="F202" i="15"/>
  <c r="F194" i="15"/>
  <c r="F186" i="15"/>
  <c r="F178" i="15"/>
  <c r="F170" i="15"/>
  <c r="F162" i="15"/>
  <c r="F154" i="15"/>
  <c r="F146" i="15"/>
  <c r="F138" i="15"/>
  <c r="F130" i="15"/>
  <c r="F122" i="15"/>
  <c r="F114" i="15"/>
  <c r="F106" i="15"/>
  <c r="F98" i="15"/>
  <c r="F90" i="15"/>
  <c r="F82" i="15"/>
  <c r="F74" i="15"/>
  <c r="F66" i="15"/>
  <c r="G250" i="15"/>
  <c r="G242" i="15"/>
  <c r="G234" i="15"/>
  <c r="G218" i="15"/>
  <c r="G210" i="15"/>
  <c r="G202" i="15"/>
  <c r="G194" i="15"/>
  <c r="G186" i="15"/>
  <c r="G178" i="15"/>
  <c r="G146" i="15"/>
  <c r="G138" i="15"/>
  <c r="G130" i="15"/>
  <c r="G122" i="15"/>
  <c r="G114" i="15"/>
  <c r="G106" i="15"/>
  <c r="G98" i="15"/>
  <c r="G90" i="15"/>
  <c r="G82" i="15"/>
  <c r="G74" i="15"/>
  <c r="G66" i="15"/>
  <c r="H250" i="15"/>
  <c r="H242" i="15"/>
  <c r="H234" i="15"/>
  <c r="H225" i="15"/>
  <c r="H214" i="15"/>
  <c r="H200" i="15"/>
  <c r="H176" i="15"/>
  <c r="F257" i="15"/>
  <c r="F249" i="15"/>
  <c r="F241" i="15"/>
  <c r="F233" i="15"/>
  <c r="F225" i="15"/>
  <c r="F217" i="15"/>
  <c r="F209" i="15"/>
  <c r="F201" i="15"/>
  <c r="F193" i="15"/>
  <c r="F185" i="15"/>
  <c r="F177" i="15"/>
  <c r="F169" i="15"/>
  <c r="F161" i="15"/>
  <c r="F153" i="15"/>
  <c r="F145" i="15"/>
  <c r="F137" i="15"/>
  <c r="F129" i="15"/>
  <c r="F121" i="15"/>
  <c r="F113" i="15"/>
  <c r="F105" i="15"/>
  <c r="F97" i="15"/>
  <c r="F89" i="15"/>
  <c r="F81" i="15"/>
  <c r="F73" i="15"/>
  <c r="G257" i="15"/>
  <c r="G249" i="15"/>
  <c r="G241" i="15"/>
  <c r="G233" i="15"/>
  <c r="G225" i="15"/>
  <c r="G217" i="15"/>
  <c r="G209" i="15"/>
  <c r="G201" i="15"/>
  <c r="G193" i="15"/>
  <c r="G185" i="15"/>
  <c r="G177" i="15"/>
  <c r="G81" i="15"/>
  <c r="H257" i="15"/>
  <c r="H249" i="15"/>
  <c r="H241" i="15"/>
  <c r="H224" i="15"/>
  <c r="H213" i="15"/>
  <c r="H197" i="15"/>
  <c r="H174" i="15"/>
  <c r="F256" i="15"/>
  <c r="F248" i="15"/>
  <c r="F240" i="15"/>
  <c r="F232" i="15"/>
  <c r="F224" i="15"/>
  <c r="F216" i="15"/>
  <c r="F208" i="15"/>
  <c r="F200" i="15"/>
  <c r="F192" i="15"/>
  <c r="F184" i="15"/>
  <c r="F176" i="15"/>
  <c r="F168" i="15"/>
  <c r="F160" i="15"/>
  <c r="F152" i="15"/>
  <c r="F144" i="15"/>
  <c r="F136" i="15"/>
  <c r="F128" i="15"/>
  <c r="F120" i="15"/>
  <c r="F112" i="15"/>
  <c r="F104" i="15"/>
  <c r="F96" i="15"/>
  <c r="F88" i="15"/>
  <c r="F80" i="15"/>
  <c r="F72" i="15"/>
  <c r="G256" i="15"/>
  <c r="G248" i="15"/>
  <c r="G240" i="15"/>
  <c r="G232" i="15"/>
  <c r="G224" i="15"/>
  <c r="G216" i="15"/>
  <c r="G208" i="15"/>
  <c r="G200" i="15"/>
  <c r="G192" i="15"/>
  <c r="G184" i="15"/>
  <c r="G176" i="15"/>
  <c r="G168" i="15"/>
  <c r="G160" i="15"/>
  <c r="G152" i="15"/>
  <c r="G120" i="15"/>
  <c r="H240" i="15"/>
  <c r="H232" i="15"/>
  <c r="H223" i="15"/>
  <c r="H196" i="15"/>
  <c r="H132" i="15"/>
  <c r="F247" i="15"/>
  <c r="F239" i="15"/>
  <c r="F231" i="15"/>
  <c r="F223" i="15"/>
  <c r="F215" i="15"/>
  <c r="F207" i="15"/>
  <c r="F199" i="15"/>
  <c r="F191" i="15"/>
  <c r="F183" i="15"/>
  <c r="F175" i="15"/>
  <c r="F167" i="15"/>
  <c r="F159" i="15"/>
  <c r="F151" i="15"/>
  <c r="F143" i="15"/>
  <c r="F135" i="15"/>
  <c r="F127" i="15"/>
  <c r="F119" i="15"/>
  <c r="F111" i="15"/>
  <c r="F103" i="15"/>
  <c r="F95" i="15"/>
  <c r="F87" i="15"/>
  <c r="F79" i="15"/>
  <c r="F71" i="15"/>
  <c r="G255" i="15"/>
  <c r="G247" i="15"/>
  <c r="G239" i="15"/>
  <c r="G231" i="15"/>
  <c r="G191" i="15"/>
  <c r="G183" i="15"/>
  <c r="G175" i="15"/>
  <c r="G159" i="15"/>
  <c r="G135" i="15"/>
  <c r="G127" i="15"/>
  <c r="G119" i="15"/>
  <c r="G111" i="15"/>
  <c r="G95" i="15"/>
  <c r="G71" i="15"/>
  <c r="H255" i="15"/>
  <c r="H247" i="15"/>
  <c r="H239" i="15"/>
  <c r="H231" i="15"/>
  <c r="H222" i="15"/>
  <c r="H210" i="15"/>
  <c r="H194" i="15"/>
  <c r="F246" i="15"/>
  <c r="F238" i="15"/>
  <c r="F230" i="15"/>
  <c r="F222" i="15"/>
  <c r="F214" i="15"/>
  <c r="F206" i="15"/>
  <c r="F198" i="15"/>
  <c r="F190" i="15"/>
  <c r="F182" i="15"/>
  <c r="F174" i="15"/>
  <c r="F166" i="15"/>
  <c r="F158" i="15"/>
  <c r="F150" i="15"/>
  <c r="F142" i="15"/>
  <c r="F134" i="15"/>
  <c r="F126" i="15"/>
  <c r="F118" i="15"/>
  <c r="F110" i="15"/>
  <c r="F102" i="15"/>
  <c r="F94" i="15"/>
  <c r="F86" i="15"/>
  <c r="F78" i="15"/>
  <c r="F70" i="15"/>
  <c r="G254" i="15"/>
  <c r="G246" i="15"/>
  <c r="G238" i="15"/>
  <c r="G230" i="15"/>
  <c r="G206" i="15"/>
  <c r="G158" i="15"/>
  <c r="G150" i="15"/>
  <c r="G142" i="15"/>
  <c r="G134" i="15"/>
  <c r="G126" i="15"/>
  <c r="G118" i="15"/>
  <c r="G110" i="15"/>
  <c r="G102" i="15"/>
  <c r="G94" i="15"/>
  <c r="G86" i="15"/>
  <c r="G78" i="15"/>
  <c r="G70" i="15"/>
  <c r="H254" i="15"/>
  <c r="H246" i="15"/>
  <c r="H238" i="15"/>
  <c r="H230" i="15"/>
  <c r="H221" i="15"/>
  <c r="H209" i="15"/>
  <c r="F253" i="15"/>
  <c r="F245" i="15"/>
  <c r="F237" i="15"/>
  <c r="F229" i="15"/>
  <c r="F221" i="15"/>
  <c r="F213" i="15"/>
  <c r="F205" i="15"/>
  <c r="F197" i="15"/>
  <c r="F189" i="15"/>
  <c r="F181" i="15"/>
  <c r="F173" i="15"/>
  <c r="F165" i="15"/>
  <c r="F157" i="15"/>
  <c r="F149" i="15"/>
  <c r="F141" i="15"/>
  <c r="F133" i="15"/>
  <c r="F125" i="15"/>
  <c r="F117" i="15"/>
  <c r="F109" i="15"/>
  <c r="F101" i="15"/>
  <c r="F93" i="15"/>
  <c r="F85" i="15"/>
  <c r="F77" i="15"/>
  <c r="F69" i="15"/>
  <c r="G253" i="15"/>
  <c r="G245" i="15"/>
  <c r="G237" i="15"/>
  <c r="G229" i="15"/>
  <c r="G197" i="15"/>
  <c r="G181" i="15"/>
  <c r="G173" i="15"/>
  <c r="G165" i="15"/>
  <c r="G157" i="15"/>
  <c r="G133" i="15"/>
  <c r="G93" i="15"/>
  <c r="G69" i="15"/>
  <c r="H253" i="15"/>
  <c r="H245" i="15"/>
  <c r="H229" i="15"/>
  <c r="H220" i="15"/>
  <c r="H184" i="15"/>
  <c r="H191" i="15"/>
  <c r="H175" i="15"/>
  <c r="H186" i="15"/>
  <c r="H150" i="15"/>
  <c r="H185" i="15"/>
  <c r="H141" i="15"/>
  <c r="H172" i="15"/>
  <c r="H123" i="15"/>
  <c r="H168" i="15"/>
  <c r="H107" i="15"/>
  <c r="H161" i="15"/>
  <c r="H97" i="15"/>
  <c r="H157" i="15"/>
  <c r="H70" i="15"/>
  <c r="H148" i="15"/>
  <c r="H146" i="15"/>
  <c r="H91" i="15"/>
  <c r="H130" i="15"/>
  <c r="H158" i="15"/>
  <c r="H129" i="15"/>
  <c r="H205" i="15"/>
  <c r="H193" i="15"/>
  <c r="H182" i="15"/>
  <c r="H166" i="15"/>
  <c r="H145" i="15"/>
  <c r="H119" i="15"/>
  <c r="H204" i="15"/>
  <c r="H192" i="15"/>
  <c r="H178" i="15"/>
  <c r="H164" i="15"/>
  <c r="H142" i="15"/>
  <c r="H113" i="15"/>
  <c r="H133" i="15"/>
  <c r="H101" i="15"/>
  <c r="H217" i="15"/>
  <c r="H208" i="15"/>
  <c r="H199" i="15"/>
  <c r="H190" i="15"/>
  <c r="H181" i="15"/>
  <c r="H170" i="15"/>
  <c r="H156" i="15"/>
  <c r="H138" i="15"/>
  <c r="H118" i="15"/>
  <c r="H90" i="15"/>
  <c r="H216" i="15"/>
  <c r="H207" i="15"/>
  <c r="H198" i="15"/>
  <c r="H189" i="15"/>
  <c r="H180" i="15"/>
  <c r="H169" i="15"/>
  <c r="H154" i="15"/>
  <c r="H134" i="15"/>
  <c r="H114" i="15"/>
  <c r="H81" i="15"/>
  <c r="H111" i="15"/>
  <c r="H69" i="15"/>
  <c r="H165" i="15"/>
  <c r="H153" i="15"/>
  <c r="H140" i="15"/>
  <c r="H125" i="15"/>
  <c r="H109" i="15"/>
  <c r="H86" i="15"/>
  <c r="H173" i="15"/>
  <c r="H162" i="15"/>
  <c r="H149" i="15"/>
  <c r="H137" i="15"/>
  <c r="H122" i="15"/>
  <c r="H103" i="15"/>
  <c r="H79" i="15"/>
  <c r="H102" i="15"/>
  <c r="H75" i="15"/>
  <c r="H227" i="15"/>
  <c r="H219" i="15"/>
  <c r="H211" i="15"/>
  <c r="H203" i="15"/>
  <c r="H195" i="15"/>
  <c r="H187" i="15"/>
  <c r="H179" i="15"/>
  <c r="H171" i="15"/>
  <c r="H163" i="15"/>
  <c r="H155" i="15"/>
  <c r="H147" i="15"/>
  <c r="H139" i="15"/>
  <c r="H131" i="15"/>
  <c r="H121" i="15"/>
  <c r="H110" i="15"/>
  <c r="H99" i="15"/>
  <c r="H89" i="15"/>
  <c r="H78" i="15"/>
  <c r="H67" i="15"/>
  <c r="H98" i="15"/>
  <c r="H87" i="15"/>
  <c r="H77" i="15"/>
  <c r="H66" i="15"/>
  <c r="H160" i="15"/>
  <c r="H152" i="15"/>
  <c r="H144" i="15"/>
  <c r="H136" i="15"/>
  <c r="H127" i="15"/>
  <c r="H117" i="15"/>
  <c r="H106" i="15"/>
  <c r="H95" i="15"/>
  <c r="H85" i="15"/>
  <c r="H74" i="15"/>
  <c r="H167" i="15"/>
  <c r="H159" i="15"/>
  <c r="H151" i="15"/>
  <c r="H143" i="15"/>
  <c r="H135" i="15"/>
  <c r="H126" i="15"/>
  <c r="H115" i="15"/>
  <c r="H105" i="15"/>
  <c r="H94" i="15"/>
  <c r="H83" i="15"/>
  <c r="H73" i="15"/>
  <c r="H93" i="15"/>
  <c r="H82" i="15"/>
  <c r="H71" i="15"/>
  <c r="H128" i="15"/>
  <c r="H120" i="15"/>
  <c r="H112" i="15"/>
  <c r="H104" i="15"/>
  <c r="H96" i="15"/>
  <c r="H88" i="15"/>
  <c r="H80" i="15"/>
  <c r="H72" i="15"/>
  <c r="H124" i="15"/>
  <c r="H116" i="15"/>
  <c r="H108" i="15"/>
  <c r="H100" i="15"/>
  <c r="H92" i="15"/>
  <c r="H84" i="15"/>
  <c r="H76" i="15"/>
  <c r="H68" i="15"/>
  <c r="E257" i="15"/>
  <c r="D257" i="15"/>
  <c r="D254" i="15"/>
  <c r="E256" i="15"/>
  <c r="E255" i="15"/>
  <c r="E254" i="15"/>
  <c r="D256" i="15"/>
  <c r="D255" i="15"/>
  <c r="E247" i="15"/>
  <c r="D249" i="15"/>
  <c r="E246" i="15"/>
  <c r="D248" i="15"/>
  <c r="E253" i="15"/>
  <c r="E245" i="15"/>
  <c r="D247" i="15"/>
  <c r="E252" i="15"/>
  <c r="E244" i="15"/>
  <c r="D246" i="15"/>
  <c r="E251" i="15"/>
  <c r="D253" i="15"/>
  <c r="D245" i="15"/>
  <c r="E250" i="15"/>
  <c r="D252" i="15"/>
  <c r="D244" i="15"/>
  <c r="E249" i="15"/>
  <c r="D251" i="15"/>
  <c r="E248" i="15"/>
  <c r="D250" i="15"/>
  <c r="D241" i="15"/>
  <c r="E243" i="15"/>
  <c r="E242" i="15"/>
  <c r="E241" i="15"/>
  <c r="D243" i="15"/>
  <c r="D242" i="15"/>
  <c r="E236" i="15"/>
  <c r="D240" i="15"/>
  <c r="D232" i="15"/>
  <c r="E235" i="15"/>
  <c r="D239" i="15"/>
  <c r="D231" i="15"/>
  <c r="E234" i="15"/>
  <c r="D238" i="15"/>
  <c r="D230" i="15"/>
  <c r="E233" i="15"/>
  <c r="D237" i="15"/>
  <c r="D229" i="15"/>
  <c r="E240" i="15"/>
  <c r="E232" i="15"/>
  <c r="D236" i="15"/>
  <c r="E239" i="15"/>
  <c r="E231" i="15"/>
  <c r="D235" i="15"/>
  <c r="E238" i="15"/>
  <c r="E230" i="15"/>
  <c r="D234" i="15"/>
  <c r="E237" i="15"/>
  <c r="E229" i="15"/>
  <c r="D233" i="15"/>
  <c r="E227" i="15"/>
  <c r="E219" i="15"/>
  <c r="E211" i="15"/>
  <c r="E203" i="15"/>
  <c r="E195" i="15"/>
  <c r="E187" i="15"/>
  <c r="E179" i="15"/>
  <c r="D226" i="15"/>
  <c r="D218" i="15"/>
  <c r="D210" i="15"/>
  <c r="D202" i="15"/>
  <c r="D194" i="15"/>
  <c r="D186" i="15"/>
  <c r="D178" i="15"/>
  <c r="E226" i="15"/>
  <c r="E218" i="15"/>
  <c r="E210" i="15"/>
  <c r="E202" i="15"/>
  <c r="E194" i="15"/>
  <c r="E186" i="15"/>
  <c r="E178" i="15"/>
  <c r="D225" i="15"/>
  <c r="D217" i="15"/>
  <c r="D209" i="15"/>
  <c r="D201" i="15"/>
  <c r="D193" i="15"/>
  <c r="D185" i="15"/>
  <c r="D177" i="15"/>
  <c r="E225" i="15"/>
  <c r="E217" i="15"/>
  <c r="E209" i="15"/>
  <c r="E201" i="15"/>
  <c r="E193" i="15"/>
  <c r="E185" i="15"/>
  <c r="E177" i="15"/>
  <c r="D224" i="15"/>
  <c r="D216" i="15"/>
  <c r="D208" i="15"/>
  <c r="D200" i="15"/>
  <c r="D192" i="15"/>
  <c r="D184" i="15"/>
  <c r="D176" i="15"/>
  <c r="E224" i="15"/>
  <c r="E216" i="15"/>
  <c r="E208" i="15"/>
  <c r="E200" i="15"/>
  <c r="E192" i="15"/>
  <c r="E184" i="15"/>
  <c r="E176" i="15"/>
  <c r="D223" i="15"/>
  <c r="D215" i="15"/>
  <c r="D207" i="15"/>
  <c r="D199" i="15"/>
  <c r="D191" i="15"/>
  <c r="D183" i="15"/>
  <c r="D175" i="15"/>
  <c r="E223" i="15"/>
  <c r="E215" i="15"/>
  <c r="E207" i="15"/>
  <c r="E199" i="15"/>
  <c r="E191" i="15"/>
  <c r="E183" i="15"/>
  <c r="E175" i="15"/>
  <c r="D222" i="15"/>
  <c r="D214" i="15"/>
  <c r="D206" i="15"/>
  <c r="D198" i="15"/>
  <c r="D190" i="15"/>
  <c r="D182" i="15"/>
  <c r="D174" i="15"/>
  <c r="E222" i="15"/>
  <c r="E214" i="15"/>
  <c r="E206" i="15"/>
  <c r="E198" i="15"/>
  <c r="E190" i="15"/>
  <c r="E182" i="15"/>
  <c r="E174" i="15"/>
  <c r="D221" i="15"/>
  <c r="D213" i="15"/>
  <c r="D205" i="15"/>
  <c r="D197" i="15"/>
  <c r="D189" i="15"/>
  <c r="D181" i="15"/>
  <c r="E221" i="15"/>
  <c r="E213" i="15"/>
  <c r="E205" i="15"/>
  <c r="E197" i="15"/>
  <c r="E189" i="15"/>
  <c r="E181" i="15"/>
  <c r="D228" i="15"/>
  <c r="D220" i="15"/>
  <c r="D212" i="15"/>
  <c r="D204" i="15"/>
  <c r="D196" i="15"/>
  <c r="D188" i="15"/>
  <c r="D180" i="15"/>
  <c r="E228" i="15"/>
  <c r="E220" i="15"/>
  <c r="E212" i="15"/>
  <c r="E204" i="15"/>
  <c r="E196" i="15"/>
  <c r="E188" i="15"/>
  <c r="E180" i="15"/>
  <c r="D227" i="15"/>
  <c r="D219" i="15"/>
  <c r="D211" i="15"/>
  <c r="D203" i="15"/>
  <c r="D195" i="15"/>
  <c r="D187" i="15"/>
  <c r="D179" i="15"/>
  <c r="E171" i="15"/>
  <c r="E163" i="15"/>
  <c r="E155" i="15"/>
  <c r="D169" i="15"/>
  <c r="D161" i="15"/>
  <c r="D153" i="15"/>
  <c r="E170" i="15"/>
  <c r="E162" i="15"/>
  <c r="E154" i="15"/>
  <c r="D168" i="15"/>
  <c r="D160" i="15"/>
  <c r="D152" i="15"/>
  <c r="E169" i="15"/>
  <c r="E161" i="15"/>
  <c r="E153" i="15"/>
  <c r="D167" i="15"/>
  <c r="D159" i="15"/>
  <c r="E168" i="15"/>
  <c r="E160" i="15"/>
  <c r="E152" i="15"/>
  <c r="D166" i="15"/>
  <c r="D158" i="15"/>
  <c r="E167" i="15"/>
  <c r="E159" i="15"/>
  <c r="D173" i="15"/>
  <c r="D165" i="15"/>
  <c r="D157" i="15"/>
  <c r="E166" i="15"/>
  <c r="E158" i="15"/>
  <c r="D172" i="15"/>
  <c r="D164" i="15"/>
  <c r="D156" i="15"/>
  <c r="E173" i="15"/>
  <c r="E165" i="15"/>
  <c r="E157" i="15"/>
  <c r="D171" i="15"/>
  <c r="D163" i="15"/>
  <c r="D155" i="15"/>
  <c r="E172" i="15"/>
  <c r="E164" i="15"/>
  <c r="E156" i="15"/>
  <c r="D170" i="15"/>
  <c r="D162" i="15"/>
  <c r="D154" i="15"/>
  <c r="E149" i="15"/>
  <c r="E141" i="15"/>
  <c r="E133" i="15"/>
  <c r="E125" i="15"/>
  <c r="E117" i="15"/>
  <c r="E109" i="15"/>
  <c r="E101" i="15"/>
  <c r="E93" i="15"/>
  <c r="E85" i="15"/>
  <c r="E77" i="15"/>
  <c r="E69" i="15"/>
  <c r="D147" i="15"/>
  <c r="D139" i="15"/>
  <c r="D131" i="15"/>
  <c r="D123" i="15"/>
  <c r="D115" i="15"/>
  <c r="D107" i="15"/>
  <c r="D99" i="15"/>
  <c r="D91" i="15"/>
  <c r="D83" i="15"/>
  <c r="D75" i="15"/>
  <c r="D67" i="15"/>
  <c r="E148" i="15"/>
  <c r="E140" i="15"/>
  <c r="E132" i="15"/>
  <c r="E124" i="15"/>
  <c r="E116" i="15"/>
  <c r="E108" i="15"/>
  <c r="E100" i="15"/>
  <c r="E92" i="15"/>
  <c r="E84" i="15"/>
  <c r="E76" i="15"/>
  <c r="E68" i="15"/>
  <c r="D146" i="15"/>
  <c r="D138" i="15"/>
  <c r="D130" i="15"/>
  <c r="D122" i="15"/>
  <c r="D114" i="15"/>
  <c r="D106" i="15"/>
  <c r="D98" i="15"/>
  <c r="D90" i="15"/>
  <c r="D82" i="15"/>
  <c r="D74" i="15"/>
  <c r="D66" i="15"/>
  <c r="E147" i="15"/>
  <c r="E139" i="15"/>
  <c r="E131" i="15"/>
  <c r="E123" i="15"/>
  <c r="E115" i="15"/>
  <c r="E107" i="15"/>
  <c r="E99" i="15"/>
  <c r="E91" i="15"/>
  <c r="E83" i="15"/>
  <c r="E75" i="15"/>
  <c r="E67" i="15"/>
  <c r="D145" i="15"/>
  <c r="D137" i="15"/>
  <c r="D129" i="15"/>
  <c r="D121" i="15"/>
  <c r="D113" i="15"/>
  <c r="D105" i="15"/>
  <c r="D97" i="15"/>
  <c r="D89" i="15"/>
  <c r="D81" i="15"/>
  <c r="D73" i="15"/>
  <c r="E146" i="15"/>
  <c r="E138" i="15"/>
  <c r="E130" i="15"/>
  <c r="E122" i="15"/>
  <c r="E114" i="15"/>
  <c r="E106" i="15"/>
  <c r="E98" i="15"/>
  <c r="E90" i="15"/>
  <c r="E82" i="15"/>
  <c r="E74" i="15"/>
  <c r="E66" i="15"/>
  <c r="D144" i="15"/>
  <c r="D136" i="15"/>
  <c r="D128" i="15"/>
  <c r="D120" i="15"/>
  <c r="D112" i="15"/>
  <c r="D104" i="15"/>
  <c r="D96" i="15"/>
  <c r="D88" i="15"/>
  <c r="D80" i="15"/>
  <c r="D72" i="15"/>
  <c r="E145" i="15"/>
  <c r="E137" i="15"/>
  <c r="E129" i="15"/>
  <c r="E121" i="15"/>
  <c r="E113" i="15"/>
  <c r="E105" i="15"/>
  <c r="E97" i="15"/>
  <c r="E89" i="15"/>
  <c r="E81" i="15"/>
  <c r="E73" i="15"/>
  <c r="D151" i="15"/>
  <c r="D143" i="15"/>
  <c r="D135" i="15"/>
  <c r="D127" i="15"/>
  <c r="D119" i="15"/>
  <c r="D111" i="15"/>
  <c r="D103" i="15"/>
  <c r="D95" i="15"/>
  <c r="D87" i="15"/>
  <c r="D79" i="15"/>
  <c r="D71" i="15"/>
  <c r="E144" i="15"/>
  <c r="E136" i="15"/>
  <c r="E128" i="15"/>
  <c r="E120" i="15"/>
  <c r="E112" i="15"/>
  <c r="E104" i="15"/>
  <c r="E96" i="15"/>
  <c r="E88" i="15"/>
  <c r="E80" i="15"/>
  <c r="E72" i="15"/>
  <c r="D150" i="15"/>
  <c r="D142" i="15"/>
  <c r="D134" i="15"/>
  <c r="D126" i="15"/>
  <c r="D118" i="15"/>
  <c r="D110" i="15"/>
  <c r="D102" i="15"/>
  <c r="D94" i="15"/>
  <c r="D86" i="15"/>
  <c r="D78" i="15"/>
  <c r="D70" i="15"/>
  <c r="E151" i="15"/>
  <c r="E143" i="15"/>
  <c r="E135" i="15"/>
  <c r="E127" i="15"/>
  <c r="E119" i="15"/>
  <c r="E111" i="15"/>
  <c r="E103" i="15"/>
  <c r="E95" i="15"/>
  <c r="E87" i="15"/>
  <c r="E79" i="15"/>
  <c r="E71" i="15"/>
  <c r="D149" i="15"/>
  <c r="D141" i="15"/>
  <c r="D133" i="15"/>
  <c r="D125" i="15"/>
  <c r="D117" i="15"/>
  <c r="D109" i="15"/>
  <c r="D101" i="15"/>
  <c r="D93" i="15"/>
  <c r="D85" i="15"/>
  <c r="D77" i="15"/>
  <c r="D69" i="15"/>
  <c r="E150" i="15"/>
  <c r="E142" i="15"/>
  <c r="E134" i="15"/>
  <c r="E126" i="15"/>
  <c r="E118" i="15"/>
  <c r="E110" i="15"/>
  <c r="E102" i="15"/>
  <c r="E94" i="15"/>
  <c r="E86" i="15"/>
  <c r="E78" i="15"/>
  <c r="E70" i="15"/>
  <c r="D148" i="15"/>
  <c r="D140" i="15"/>
  <c r="D132" i="15"/>
  <c r="D124" i="15"/>
  <c r="D116" i="15"/>
  <c r="D108" i="15"/>
  <c r="D100" i="15"/>
  <c r="D92" i="15"/>
  <c r="D84" i="15"/>
  <c r="D76" i="15"/>
  <c r="D68" i="15"/>
  <c r="C4" i="16"/>
  <c r="C13" i="16"/>
  <c r="C15" i="16"/>
  <c r="C7" i="16"/>
  <c r="C14" i="16"/>
  <c r="C6" i="16"/>
  <c r="C20" i="16"/>
  <c r="C18" i="16"/>
  <c r="C24" i="16"/>
  <c r="C22" i="16"/>
  <c r="C28" i="16"/>
  <c r="C26" i="16"/>
  <c r="C30" i="16"/>
  <c r="C32" i="16"/>
  <c r="C17" i="16"/>
  <c r="C9" i="16"/>
  <c r="C16" i="16"/>
  <c r="C8" i="16"/>
  <c r="C11" i="16"/>
  <c r="C3" i="16"/>
  <c r="C10" i="16"/>
  <c r="C21" i="16"/>
  <c r="C19" i="16"/>
  <c r="C25" i="16"/>
  <c r="C23" i="16"/>
  <c r="C29" i="16"/>
  <c r="C27" i="16"/>
  <c r="C31" i="16"/>
  <c r="C33" i="16"/>
  <c r="C5" i="16"/>
  <c r="C12" i="16"/>
  <c r="I8" i="16"/>
  <c r="I15" i="16"/>
  <c r="G25" i="11"/>
  <c r="B65" i="15" l="1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G20" i="11"/>
  <c r="E18" i="11"/>
  <c r="D18" i="1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J17" i="15"/>
  <c r="J47" i="15"/>
  <c r="J62" i="15"/>
  <c r="J43" i="15"/>
  <c r="J13" i="15"/>
  <c r="J49" i="15"/>
  <c r="J19" i="15"/>
  <c r="J50" i="15"/>
  <c r="J61" i="15"/>
  <c r="J3" i="15"/>
  <c r="J64" i="15"/>
  <c r="J20" i="15"/>
  <c r="J25" i="15"/>
  <c r="J56" i="15"/>
  <c r="J31" i="15"/>
  <c r="J33" i="15"/>
  <c r="J48" i="15"/>
  <c r="J23" i="15"/>
  <c r="J38" i="15"/>
  <c r="J34" i="15"/>
  <c r="J40" i="15"/>
  <c r="J15" i="15"/>
  <c r="J30" i="15"/>
  <c r="J45" i="15"/>
  <c r="J8" i="15"/>
  <c r="J4" i="15"/>
  <c r="J26" i="15"/>
  <c r="J9" i="15"/>
  <c r="J7" i="15"/>
  <c r="J37" i="15"/>
  <c r="J51" i="15"/>
  <c r="J24" i="15"/>
  <c r="J32" i="15"/>
  <c r="J22" i="15"/>
  <c r="J60" i="15"/>
  <c r="J18" i="15"/>
  <c r="J63" i="15"/>
  <c r="J35" i="15"/>
  <c r="J14" i="15"/>
  <c r="J29" i="15"/>
  <c r="J52" i="15"/>
  <c r="J27" i="15"/>
  <c r="J10" i="15"/>
  <c r="J58" i="15"/>
  <c r="J54" i="15"/>
  <c r="J5" i="15"/>
  <c r="J41" i="15"/>
  <c r="J59" i="15"/>
  <c r="J53" i="15"/>
  <c r="J65" i="15"/>
  <c r="J55" i="15"/>
  <c r="J16" i="15"/>
  <c r="J6" i="15"/>
  <c r="J21" i="15"/>
  <c r="J44" i="15"/>
  <c r="J11" i="15"/>
  <c r="J57" i="15"/>
  <c r="J36" i="15"/>
  <c r="J39" i="15"/>
  <c r="J28" i="15"/>
  <c r="J46" i="15"/>
  <c r="J42" i="15"/>
  <c r="J12" i="15"/>
  <c r="K24" i="15" l="1"/>
  <c r="K9" i="15"/>
  <c r="K25" i="15"/>
  <c r="K33" i="15"/>
  <c r="K41" i="15"/>
  <c r="K49" i="15"/>
  <c r="K57" i="15"/>
  <c r="K2" i="15"/>
  <c r="K10" i="15"/>
  <c r="K18" i="15"/>
  <c r="K26" i="15"/>
  <c r="K34" i="15"/>
  <c r="K42" i="15"/>
  <c r="K50" i="15"/>
  <c r="K58" i="15"/>
  <c r="K11" i="15"/>
  <c r="K27" i="15"/>
  <c r="K51" i="15"/>
  <c r="K4" i="15"/>
  <c r="K12" i="15"/>
  <c r="K20" i="15"/>
  <c r="K28" i="15"/>
  <c r="K36" i="15"/>
  <c r="K44" i="15"/>
  <c r="K52" i="15"/>
  <c r="K60" i="15"/>
  <c r="K8" i="15"/>
  <c r="K3" i="15"/>
  <c r="K59" i="15"/>
  <c r="K5" i="15"/>
  <c r="K13" i="15"/>
  <c r="K21" i="15"/>
  <c r="K29" i="15"/>
  <c r="K37" i="15"/>
  <c r="K45" i="15"/>
  <c r="K53" i="15"/>
  <c r="K61" i="15"/>
  <c r="K19" i="15"/>
  <c r="K43" i="15"/>
  <c r="K6" i="15"/>
  <c r="K14" i="15"/>
  <c r="K22" i="15"/>
  <c r="K30" i="15"/>
  <c r="K38" i="15"/>
  <c r="K46" i="15"/>
  <c r="K54" i="15"/>
  <c r="K62" i="15"/>
  <c r="K16" i="15"/>
  <c r="K35" i="15"/>
  <c r="K7" i="15"/>
  <c r="K15" i="15"/>
  <c r="K23" i="15"/>
  <c r="K31" i="15"/>
  <c r="K39" i="15"/>
  <c r="K47" i="15"/>
  <c r="K55" i="15"/>
  <c r="K63" i="15"/>
  <c r="K32" i="15"/>
  <c r="K40" i="15"/>
  <c r="K48" i="15"/>
  <c r="K56" i="15"/>
  <c r="K64" i="15"/>
  <c r="K17" i="15"/>
  <c r="K65" i="15"/>
  <c r="C23" i="15"/>
  <c r="C47" i="15"/>
  <c r="C16" i="15"/>
  <c r="C17" i="15"/>
  <c r="C33" i="15"/>
  <c r="C2" i="15"/>
  <c r="C10" i="15"/>
  <c r="C18" i="15"/>
  <c r="C26" i="15"/>
  <c r="C34" i="15"/>
  <c r="C42" i="15"/>
  <c r="C50" i="15"/>
  <c r="C58" i="15"/>
  <c r="C19" i="15"/>
  <c r="C43" i="15"/>
  <c r="C51" i="15"/>
  <c r="C59" i="15"/>
  <c r="C12" i="15"/>
  <c r="C11" i="15"/>
  <c r="C35" i="15"/>
  <c r="C20" i="15"/>
  <c r="C44" i="15"/>
  <c r="C60" i="15"/>
  <c r="C5" i="15"/>
  <c r="C13" i="15"/>
  <c r="C21" i="15"/>
  <c r="C29" i="15"/>
  <c r="C37" i="15"/>
  <c r="C45" i="15"/>
  <c r="C53" i="15"/>
  <c r="C61" i="15"/>
  <c r="C7" i="15"/>
  <c r="C3" i="15"/>
  <c r="C27" i="15"/>
  <c r="C4" i="15"/>
  <c r="C28" i="15"/>
  <c r="C36" i="15"/>
  <c r="C52" i="15"/>
  <c r="C6" i="15"/>
  <c r="C14" i="15"/>
  <c r="C22" i="15"/>
  <c r="C30" i="15"/>
  <c r="C38" i="15"/>
  <c r="C46" i="15"/>
  <c r="C54" i="15"/>
  <c r="C62" i="15"/>
  <c r="C31" i="15"/>
  <c r="C63" i="15"/>
  <c r="C39" i="15"/>
  <c r="C40" i="15"/>
  <c r="C15" i="15"/>
  <c r="C55" i="15"/>
  <c r="C8" i="15"/>
  <c r="C24" i="15"/>
  <c r="C32" i="15"/>
  <c r="C48" i="15"/>
  <c r="C56" i="15"/>
  <c r="C64" i="15"/>
  <c r="C9" i="15"/>
  <c r="C25" i="15"/>
  <c r="C41" i="15"/>
  <c r="C49" i="15"/>
  <c r="C57" i="15"/>
  <c r="C65" i="15"/>
  <c r="G38" i="15"/>
  <c r="F38" i="15"/>
  <c r="H38" i="15"/>
  <c r="G17" i="15"/>
  <c r="F17" i="15"/>
  <c r="H17" i="15"/>
  <c r="G33" i="15"/>
  <c r="F33" i="15"/>
  <c r="H33" i="15"/>
  <c r="H65" i="15"/>
  <c r="G65" i="15"/>
  <c r="F65" i="15"/>
  <c r="H2" i="15"/>
  <c r="G2" i="15"/>
  <c r="F2" i="15"/>
  <c r="G10" i="15"/>
  <c r="F10" i="15"/>
  <c r="H10" i="15"/>
  <c r="G18" i="15"/>
  <c r="F18" i="15"/>
  <c r="H18" i="15"/>
  <c r="G26" i="15"/>
  <c r="F26" i="15"/>
  <c r="H26" i="15"/>
  <c r="G34" i="15"/>
  <c r="F34" i="15"/>
  <c r="H34" i="15"/>
  <c r="G42" i="15"/>
  <c r="F42" i="15"/>
  <c r="H42" i="15"/>
  <c r="G50" i="15"/>
  <c r="F50" i="15"/>
  <c r="H50" i="15"/>
  <c r="G58" i="15"/>
  <c r="F58" i="15"/>
  <c r="H58" i="15"/>
  <c r="G6" i="15"/>
  <c r="F6" i="15"/>
  <c r="H6" i="15"/>
  <c r="G30" i="15"/>
  <c r="F30" i="15"/>
  <c r="H30" i="15"/>
  <c r="G9" i="15"/>
  <c r="F9" i="15"/>
  <c r="H9" i="15"/>
  <c r="G25" i="15"/>
  <c r="F25" i="15"/>
  <c r="H25" i="15"/>
  <c r="G41" i="15"/>
  <c r="F41" i="15"/>
  <c r="H41" i="15"/>
  <c r="G57" i="15"/>
  <c r="F57" i="15"/>
  <c r="H57" i="15"/>
  <c r="G3" i="15"/>
  <c r="F3" i="15"/>
  <c r="H3" i="15"/>
  <c r="G11" i="15"/>
  <c r="F11" i="15"/>
  <c r="H11" i="15"/>
  <c r="G19" i="15"/>
  <c r="F19" i="15"/>
  <c r="H19" i="15"/>
  <c r="G27" i="15"/>
  <c r="F27" i="15"/>
  <c r="H27" i="15"/>
  <c r="G35" i="15"/>
  <c r="F35" i="15"/>
  <c r="H35" i="15"/>
  <c r="G43" i="15"/>
  <c r="F43" i="15"/>
  <c r="H43" i="15"/>
  <c r="G51" i="15"/>
  <c r="F51" i="15"/>
  <c r="H51" i="15"/>
  <c r="G59" i="15"/>
  <c r="F59" i="15"/>
  <c r="H59" i="15"/>
  <c r="G4" i="15"/>
  <c r="F4" i="15"/>
  <c r="H4" i="15"/>
  <c r="G12" i="15"/>
  <c r="F12" i="15"/>
  <c r="H12" i="15"/>
  <c r="G20" i="15"/>
  <c r="F20" i="15"/>
  <c r="H20" i="15"/>
  <c r="G28" i="15"/>
  <c r="F28" i="15"/>
  <c r="H28" i="15"/>
  <c r="G36" i="15"/>
  <c r="F36" i="15"/>
  <c r="H36" i="15"/>
  <c r="G44" i="15"/>
  <c r="F44" i="15"/>
  <c r="H44" i="15"/>
  <c r="G52" i="15"/>
  <c r="F52" i="15"/>
  <c r="H52" i="15"/>
  <c r="G60" i="15"/>
  <c r="F60" i="15"/>
  <c r="H60" i="15"/>
  <c r="G5" i="15"/>
  <c r="F5" i="15"/>
  <c r="H5" i="15"/>
  <c r="G13" i="15"/>
  <c r="F13" i="15"/>
  <c r="H13" i="15"/>
  <c r="G21" i="15"/>
  <c r="F21" i="15"/>
  <c r="H21" i="15"/>
  <c r="G29" i="15"/>
  <c r="F29" i="15"/>
  <c r="H29" i="15"/>
  <c r="G37" i="15"/>
  <c r="F37" i="15"/>
  <c r="H37" i="15"/>
  <c r="G45" i="15"/>
  <c r="F45" i="15"/>
  <c r="H45" i="15"/>
  <c r="G53" i="15"/>
  <c r="F53" i="15"/>
  <c r="H53" i="15"/>
  <c r="G61" i="15"/>
  <c r="F61" i="15"/>
  <c r="H61" i="15"/>
  <c r="G14" i="15"/>
  <c r="F14" i="15"/>
  <c r="H14" i="15"/>
  <c r="G46" i="15"/>
  <c r="F46" i="15"/>
  <c r="H46" i="15"/>
  <c r="G62" i="15"/>
  <c r="F62" i="15"/>
  <c r="H62" i="15"/>
  <c r="G22" i="15"/>
  <c r="F22" i="15"/>
  <c r="H22" i="15"/>
  <c r="G54" i="15"/>
  <c r="F54" i="15"/>
  <c r="H54" i="15"/>
  <c r="G7" i="15"/>
  <c r="F7" i="15"/>
  <c r="H7" i="15"/>
  <c r="G15" i="15"/>
  <c r="F15" i="15"/>
  <c r="H15" i="15"/>
  <c r="G23" i="15"/>
  <c r="F23" i="15"/>
  <c r="H23" i="15"/>
  <c r="G31" i="15"/>
  <c r="F31" i="15"/>
  <c r="H31" i="15"/>
  <c r="G39" i="15"/>
  <c r="F39" i="15"/>
  <c r="H39" i="15"/>
  <c r="G47" i="15"/>
  <c r="F47" i="15"/>
  <c r="H47" i="15"/>
  <c r="G55" i="15"/>
  <c r="F55" i="15"/>
  <c r="H55" i="15"/>
  <c r="G63" i="15"/>
  <c r="F63" i="15"/>
  <c r="H63" i="15"/>
  <c r="G8" i="15"/>
  <c r="F8" i="15"/>
  <c r="H8" i="15"/>
  <c r="G16" i="15"/>
  <c r="F16" i="15"/>
  <c r="H16" i="15"/>
  <c r="G24" i="15"/>
  <c r="F24" i="15"/>
  <c r="H24" i="15"/>
  <c r="G32" i="15"/>
  <c r="F32" i="15"/>
  <c r="H32" i="15"/>
  <c r="G40" i="15"/>
  <c r="F40" i="15"/>
  <c r="H40" i="15"/>
  <c r="G48" i="15"/>
  <c r="F48" i="15"/>
  <c r="H48" i="15"/>
  <c r="G56" i="15"/>
  <c r="F56" i="15"/>
  <c r="H56" i="15"/>
  <c r="G64" i="15"/>
  <c r="F64" i="15"/>
  <c r="H64" i="15"/>
  <c r="G49" i="15"/>
  <c r="F49" i="15"/>
  <c r="H49" i="15"/>
  <c r="E17" i="15"/>
  <c r="D18" i="15"/>
  <c r="E64" i="15"/>
  <c r="E62" i="15"/>
  <c r="E60" i="15"/>
  <c r="E58" i="15"/>
  <c r="E56" i="15"/>
  <c r="E54" i="15"/>
  <c r="D64" i="15"/>
  <c r="D62" i="15"/>
  <c r="D60" i="15"/>
  <c r="D58" i="15"/>
  <c r="D56" i="15"/>
  <c r="D54" i="15"/>
  <c r="D65" i="15"/>
  <c r="D63" i="15"/>
  <c r="D61" i="15"/>
  <c r="D59" i="15"/>
  <c r="D57" i="15"/>
  <c r="D55" i="15"/>
  <c r="D53" i="15"/>
  <c r="E51" i="15"/>
  <c r="E49" i="15"/>
  <c r="D46" i="15"/>
  <c r="E44" i="15"/>
  <c r="D41" i="15"/>
  <c r="E39" i="15"/>
  <c r="D36" i="15"/>
  <c r="E34" i="15"/>
  <c r="E29" i="15"/>
  <c r="D51" i="15"/>
  <c r="D49" i="15"/>
  <c r="D44" i="15"/>
  <c r="D39" i="15"/>
  <c r="D34" i="15"/>
  <c r="E32" i="15"/>
  <c r="D29" i="15"/>
  <c r="E27" i="15"/>
  <c r="D24" i="15"/>
  <c r="E22" i="15"/>
  <c r="D19" i="15"/>
  <c r="D17" i="15"/>
  <c r="D15" i="15"/>
  <c r="D13" i="15"/>
  <c r="D11" i="15"/>
  <c r="E47" i="15"/>
  <c r="E42" i="15"/>
  <c r="E37" i="15"/>
  <c r="D32" i="15"/>
  <c r="D47" i="15"/>
  <c r="D42" i="15"/>
  <c r="D37" i="15"/>
  <c r="E30" i="15"/>
  <c r="E65" i="15"/>
  <c r="E63" i="15"/>
  <c r="E61" i="15"/>
  <c r="E59" i="15"/>
  <c r="E57" i="15"/>
  <c r="E55" i="15"/>
  <c r="E53" i="15"/>
  <c r="E52" i="15"/>
  <c r="E50" i="15"/>
  <c r="E45" i="15"/>
  <c r="E40" i="15"/>
  <c r="E35" i="15"/>
  <c r="E33" i="15"/>
  <c r="D30" i="15"/>
  <c r="E28" i="15"/>
  <c r="D25" i="15"/>
  <c r="D52" i="15"/>
  <c r="D50" i="15"/>
  <c r="E48" i="15"/>
  <c r="D45" i="15"/>
  <c r="E43" i="15"/>
  <c r="D40" i="15"/>
  <c r="E38" i="15"/>
  <c r="D35" i="15"/>
  <c r="D33" i="15"/>
  <c r="E46" i="15"/>
  <c r="E41" i="15"/>
  <c r="E36" i="15"/>
  <c r="D31" i="15"/>
  <c r="D26" i="15"/>
  <c r="D21" i="15"/>
  <c r="E16" i="15"/>
  <c r="E31" i="15"/>
  <c r="D3" i="15"/>
  <c r="D5" i="15"/>
  <c r="D7" i="15"/>
  <c r="D9" i="15"/>
  <c r="E11" i="15"/>
  <c r="E18" i="15"/>
  <c r="D22" i="15"/>
  <c r="D28" i="15"/>
  <c r="E3" i="15"/>
  <c r="E5" i="15"/>
  <c r="E7" i="15"/>
  <c r="E9" i="15"/>
  <c r="D12" i="15"/>
  <c r="E19" i="15"/>
  <c r="D23" i="15"/>
  <c r="D48" i="15"/>
  <c r="E12" i="15"/>
  <c r="E23" i="15"/>
  <c r="D27" i="15"/>
  <c r="D43" i="15"/>
  <c r="E13" i="15"/>
  <c r="D14" i="15"/>
  <c r="D20" i="15"/>
  <c r="E24" i="15"/>
  <c r="E26" i="15"/>
  <c r="D38" i="15"/>
  <c r="D2" i="15"/>
  <c r="D4" i="15"/>
  <c r="D6" i="15"/>
  <c r="D8" i="15"/>
  <c r="D10" i="15"/>
  <c r="E14" i="15"/>
  <c r="E20" i="15"/>
  <c r="E25" i="15"/>
  <c r="E2" i="15"/>
  <c r="E4" i="15"/>
  <c r="E6" i="15"/>
  <c r="E8" i="15"/>
  <c r="E10" i="15"/>
  <c r="E15" i="15"/>
  <c r="D16" i="15"/>
  <c r="E21" i="15"/>
</calcChain>
</file>

<file path=xl/sharedStrings.xml><?xml version="1.0" encoding="utf-8"?>
<sst xmlns="http://schemas.openxmlformats.org/spreadsheetml/2006/main" count="583" uniqueCount="312">
  <si>
    <t>肉</t>
  </si>
  <si>
    <t>硬度</t>
    <phoneticPr fontId="2" type="noConversion"/>
  </si>
  <si>
    <t>狀態</t>
    <phoneticPr fontId="2" type="noConversion"/>
  </si>
  <si>
    <t>瓷</t>
  </si>
  <si>
    <t>瓷</t>
    <phoneticPr fontId="2" type="noConversion"/>
  </si>
  <si>
    <t>劣瓷</t>
  </si>
  <si>
    <t>劣木</t>
  </si>
  <si>
    <t>劣木</t>
    <phoneticPr fontId="2" type="noConversion"/>
  </si>
  <si>
    <t>木</t>
  </si>
  <si>
    <t>木</t>
    <phoneticPr fontId="2" type="noConversion"/>
  </si>
  <si>
    <t>劣石</t>
  </si>
  <si>
    <t>劣石</t>
    <phoneticPr fontId="2" type="noConversion"/>
  </si>
  <si>
    <t>石</t>
  </si>
  <si>
    <t>石</t>
    <phoneticPr fontId="2" type="noConversion"/>
  </si>
  <si>
    <t>劣鐵</t>
  </si>
  <si>
    <t>劣鐵</t>
    <phoneticPr fontId="2" type="noConversion"/>
  </si>
  <si>
    <t>鐵</t>
  </si>
  <si>
    <t>鐵</t>
    <phoneticPr fontId="2" type="noConversion"/>
  </si>
  <si>
    <t>鑽石</t>
  </si>
  <si>
    <t>鑽石</t>
    <phoneticPr fontId="2" type="noConversion"/>
  </si>
  <si>
    <t>本體</t>
    <phoneticPr fontId="2" type="noConversion"/>
  </si>
  <si>
    <t>對象</t>
    <phoneticPr fontId="2" type="noConversion"/>
  </si>
  <si>
    <t>群組</t>
    <phoneticPr fontId="2" type="noConversion"/>
  </si>
  <si>
    <t>玩家</t>
  </si>
  <si>
    <t>玩家</t>
    <phoneticPr fontId="2" type="noConversion"/>
  </si>
  <si>
    <t>玩家武器</t>
  </si>
  <si>
    <t>玩家武器</t>
    <phoneticPr fontId="2" type="noConversion"/>
  </si>
  <si>
    <t>教團</t>
  </si>
  <si>
    <t>教團</t>
    <phoneticPr fontId="2" type="noConversion"/>
  </si>
  <si>
    <t>教團武器</t>
  </si>
  <si>
    <t>教團武器</t>
    <phoneticPr fontId="2" type="noConversion"/>
  </si>
  <si>
    <t>原生</t>
  </si>
  <si>
    <t>原生</t>
    <phoneticPr fontId="2" type="noConversion"/>
  </si>
  <si>
    <t>原生武器</t>
  </si>
  <si>
    <t>原生武器</t>
    <phoneticPr fontId="2" type="noConversion"/>
  </si>
  <si>
    <t>地上物</t>
  </si>
  <si>
    <t>地上物</t>
    <phoneticPr fontId="2" type="noConversion"/>
  </si>
  <si>
    <t>場景</t>
  </si>
  <si>
    <t>場景</t>
    <phoneticPr fontId="2" type="noConversion"/>
  </si>
  <si>
    <t>群組定義</t>
    <phoneticPr fontId="2" type="noConversion"/>
  </si>
  <si>
    <t>硬度定義</t>
    <phoneticPr fontId="2" type="noConversion"/>
  </si>
  <si>
    <t>狀態定義</t>
    <phoneticPr fontId="2" type="noConversion"/>
  </si>
  <si>
    <t>毀壞設定表</t>
    <phoneticPr fontId="2" type="noConversion"/>
  </si>
  <si>
    <t>群組接觸設定表</t>
    <phoneticPr fontId="2" type="noConversion"/>
  </si>
  <si>
    <t>對象</t>
  </si>
  <si>
    <t>本體</t>
  </si>
  <si>
    <t>群組接觸設定(展開)</t>
  </si>
  <si>
    <t>對象狀態</t>
    <phoneticPr fontId="2" type="noConversion"/>
  </si>
  <si>
    <t>權限</t>
  </si>
  <si>
    <t>有無</t>
  </si>
  <si>
    <t>賦予內容設定表</t>
    <phoneticPr fontId="2" type="noConversion"/>
  </si>
  <si>
    <t>賦予內容設定展開</t>
    <phoneticPr fontId="2" type="noConversion"/>
  </si>
  <si>
    <t>有無</t>
    <phoneticPr fontId="2" type="noConversion"/>
  </si>
  <si>
    <t>權限</t>
    <phoneticPr fontId="2" type="noConversion"/>
  </si>
  <si>
    <t>欄1</t>
  </si>
  <si>
    <t>狀態</t>
  </si>
  <si>
    <t>賦予</t>
  </si>
  <si>
    <t>數值</t>
  </si>
  <si>
    <t>物質表</t>
    <phoneticPr fontId="2" type="noConversion"/>
  </si>
  <si>
    <t>硬度</t>
    <phoneticPr fontId="2" type="noConversion"/>
  </si>
  <si>
    <t>鐵</t>
    <phoneticPr fontId="2" type="noConversion"/>
  </si>
  <si>
    <t>原子</t>
    <phoneticPr fontId="2" type="noConversion"/>
  </si>
  <si>
    <t>玻璃</t>
    <phoneticPr fontId="2" type="noConversion"/>
  </si>
  <si>
    <t>火</t>
    <phoneticPr fontId="2" type="noConversion"/>
  </si>
  <si>
    <t>不判斷</t>
  </si>
  <si>
    <t>爆炸</t>
    <phoneticPr fontId="2" type="noConversion"/>
  </si>
  <si>
    <t>閃光</t>
  </si>
  <si>
    <t>閃光</t>
    <phoneticPr fontId="2" type="noConversion"/>
  </si>
  <si>
    <t>煙霧</t>
    <phoneticPr fontId="2" type="noConversion"/>
  </si>
  <si>
    <t>毒</t>
  </si>
  <si>
    <t>毒</t>
    <phoneticPr fontId="2" type="noConversion"/>
  </si>
  <si>
    <t>寒氣</t>
    <phoneticPr fontId="2" type="noConversion"/>
  </si>
  <si>
    <t>強烈寒氣</t>
    <phoneticPr fontId="2" type="noConversion"/>
  </si>
  <si>
    <t>電氣</t>
    <phoneticPr fontId="2" type="noConversion"/>
  </si>
  <si>
    <t>賦予</t>
    <phoneticPr fontId="2" type="noConversion"/>
  </si>
  <si>
    <t>Give</t>
  </si>
  <si>
    <t>Give</t>
    <phoneticPr fontId="2" type="noConversion"/>
  </si>
  <si>
    <t>GiveMask</t>
  </si>
  <si>
    <t>GiveMask</t>
    <phoneticPr fontId="2" type="noConversion"/>
  </si>
  <si>
    <t>Take</t>
  </si>
  <si>
    <t>Take</t>
    <phoneticPr fontId="2" type="noConversion"/>
  </si>
  <si>
    <t>TakeMask</t>
  </si>
  <si>
    <t>TakeMask</t>
    <phoneticPr fontId="2" type="noConversion"/>
  </si>
  <si>
    <t>燃燒Give</t>
    <phoneticPr fontId="2" type="noConversion"/>
  </si>
  <si>
    <t>爆破Give</t>
  </si>
  <si>
    <t>放電Give</t>
  </si>
  <si>
    <t>帶電Give</t>
  </si>
  <si>
    <t>緩慢Give</t>
  </si>
  <si>
    <t>冰凍Give</t>
  </si>
  <si>
    <t>中毒Give</t>
  </si>
  <si>
    <t>麻痺Give</t>
  </si>
  <si>
    <t>暈眩Give</t>
  </si>
  <si>
    <t>失明Give</t>
  </si>
  <si>
    <t>燃燒Take</t>
  </si>
  <si>
    <t>爆破Take</t>
  </si>
  <si>
    <t>放電Take</t>
  </si>
  <si>
    <t>帶電Take</t>
  </si>
  <si>
    <t>緩慢Take</t>
  </si>
  <si>
    <t>冰凍Take</t>
  </si>
  <si>
    <t>中毒Take</t>
  </si>
  <si>
    <t>麻痺Take</t>
  </si>
  <si>
    <t>暈眩Take</t>
  </si>
  <si>
    <t>失明Take</t>
  </si>
  <si>
    <t>打擊Give</t>
    <phoneticPr fontId="2" type="noConversion"/>
  </si>
  <si>
    <t>打擊Take</t>
    <phoneticPr fontId="2" type="noConversion"/>
  </si>
  <si>
    <t>炸藥</t>
    <phoneticPr fontId="2" type="noConversion"/>
  </si>
  <si>
    <t>衝擊波</t>
    <phoneticPr fontId="2" type="noConversion"/>
  </si>
  <si>
    <t>10_失明</t>
  </si>
  <si>
    <t>10_失明</t>
    <phoneticPr fontId="2" type="noConversion"/>
  </si>
  <si>
    <t>00_打擊</t>
  </si>
  <si>
    <t>00_打擊</t>
    <phoneticPr fontId="2" type="noConversion"/>
  </si>
  <si>
    <t>01_燃燒</t>
  </si>
  <si>
    <t>01_燃燒</t>
    <phoneticPr fontId="2" type="noConversion"/>
  </si>
  <si>
    <t>02_爆破</t>
  </si>
  <si>
    <t>02_爆破</t>
    <phoneticPr fontId="2" type="noConversion"/>
  </si>
  <si>
    <t>03_放電</t>
  </si>
  <si>
    <t>03_放電</t>
    <phoneticPr fontId="2" type="noConversion"/>
  </si>
  <si>
    <t>04_帶電</t>
  </si>
  <si>
    <t>04_帶電</t>
    <phoneticPr fontId="2" type="noConversion"/>
  </si>
  <si>
    <t>05_緩慢</t>
  </si>
  <si>
    <t>05_緩慢</t>
    <phoneticPr fontId="2" type="noConversion"/>
  </si>
  <si>
    <t>06_冰凍</t>
  </si>
  <si>
    <t>06_冰凍</t>
    <phoneticPr fontId="2" type="noConversion"/>
  </si>
  <si>
    <t>07_中毒</t>
  </si>
  <si>
    <t>07_中毒</t>
    <phoneticPr fontId="2" type="noConversion"/>
  </si>
  <si>
    <t>08_麻痺</t>
  </si>
  <si>
    <t>08_麻痺</t>
    <phoneticPr fontId="2" type="noConversion"/>
  </si>
  <si>
    <t>09_暈眩</t>
  </si>
  <si>
    <t>09_暈眩</t>
    <phoneticPr fontId="2" type="noConversion"/>
  </si>
  <si>
    <t>火</t>
    <phoneticPr fontId="2" type="noConversion"/>
  </si>
  <si>
    <r>
      <t>06_</t>
    </r>
    <r>
      <rPr>
        <sz val="12"/>
        <color theme="1"/>
        <rFont val="新細明體"/>
        <family val="2"/>
      </rPr>
      <t>冰凍</t>
    </r>
  </si>
  <si>
    <t>DEC</t>
    <phoneticPr fontId="2" type="noConversion"/>
  </si>
  <si>
    <t>電</t>
  </si>
  <si>
    <r>
      <t>02_</t>
    </r>
    <r>
      <rPr>
        <sz val="12"/>
        <color theme="1"/>
        <rFont val="細明體"/>
        <family val="3"/>
        <charset val="136"/>
      </rPr>
      <t>爆炸</t>
    </r>
  </si>
  <si>
    <t>硬物</t>
  </si>
  <si>
    <t>超硬物</t>
  </si>
  <si>
    <t>02_爆炸</t>
  </si>
  <si>
    <t>11_反彈</t>
  </si>
  <si>
    <t>強爆炸</t>
  </si>
  <si>
    <r>
      <t>06_</t>
    </r>
    <r>
      <rPr>
        <sz val="12"/>
        <color theme="0"/>
        <rFont val="新細明體"/>
        <family val="2"/>
      </rPr>
      <t>冰凍</t>
    </r>
  </si>
  <si>
    <r>
      <t>03_</t>
    </r>
    <r>
      <rPr>
        <sz val="12"/>
        <color theme="0"/>
        <rFont val="新細明體"/>
        <family val="2"/>
      </rPr>
      <t>放電</t>
    </r>
  </si>
  <si>
    <r>
      <t>04_</t>
    </r>
    <r>
      <rPr>
        <sz val="12"/>
        <color theme="0"/>
        <rFont val="新細明體"/>
        <family val="2"/>
      </rPr>
      <t>帶電</t>
    </r>
  </si>
  <si>
    <r>
      <t>10_</t>
    </r>
    <r>
      <rPr>
        <sz val="12"/>
        <color theme="0"/>
        <rFont val="新細明體"/>
        <family val="2"/>
      </rPr>
      <t>失明</t>
    </r>
  </si>
  <si>
    <t>倒地</t>
  </si>
  <si>
    <r>
      <rPr>
        <sz val="12"/>
        <color theme="1"/>
        <rFont val="細明體"/>
        <family val="3"/>
        <charset val="136"/>
      </rPr>
      <t>煙霧</t>
    </r>
    <phoneticPr fontId="2" type="noConversion"/>
  </si>
  <si>
    <t>Giver</t>
  </si>
  <si>
    <t>Taker</t>
  </si>
  <si>
    <t>Taker</t>
    <phoneticPr fontId="2" type="noConversion"/>
  </si>
  <si>
    <t>Before</t>
    <phoneticPr fontId="2" type="noConversion"/>
  </si>
  <si>
    <t>After</t>
    <phoneticPr fontId="2" type="noConversion"/>
  </si>
  <si>
    <t>可燃物</t>
    <phoneticPr fontId="2" type="noConversion"/>
  </si>
  <si>
    <t>火藥</t>
    <phoneticPr fontId="2" type="noConversion"/>
  </si>
  <si>
    <r>
      <rPr>
        <sz val="12"/>
        <color theme="1"/>
        <rFont val="細明體"/>
        <family val="3"/>
        <charset val="136"/>
      </rPr>
      <t>冰</t>
    </r>
    <phoneticPr fontId="2" type="noConversion"/>
  </si>
  <si>
    <r>
      <rPr>
        <sz val="12"/>
        <color theme="0"/>
        <rFont val="細明體"/>
        <family val="3"/>
        <charset val="136"/>
      </rPr>
      <t>物質</t>
    </r>
    <phoneticPr fontId="2" type="noConversion"/>
  </si>
  <si>
    <r>
      <rPr>
        <sz val="12"/>
        <color theme="0"/>
        <rFont val="細明體"/>
        <family val="3"/>
        <charset val="136"/>
      </rPr>
      <t>導致</t>
    </r>
    <phoneticPr fontId="2" type="noConversion"/>
  </si>
  <si>
    <r>
      <rPr>
        <sz val="12"/>
        <color theme="0"/>
        <rFont val="細明體"/>
        <family val="3"/>
        <charset val="136"/>
      </rPr>
      <t>對方反應</t>
    </r>
    <phoneticPr fontId="2" type="noConversion"/>
  </si>
  <si>
    <r>
      <t>00_</t>
    </r>
    <r>
      <rPr>
        <sz val="12"/>
        <color theme="0"/>
        <rFont val="細明體"/>
        <family val="3"/>
        <charset val="136"/>
      </rPr>
      <t>打擊</t>
    </r>
    <phoneticPr fontId="2" type="noConversion"/>
  </si>
  <si>
    <r>
      <t>01_</t>
    </r>
    <r>
      <rPr>
        <sz val="12"/>
        <color theme="0"/>
        <rFont val="細明體"/>
        <family val="3"/>
        <charset val="136"/>
      </rPr>
      <t>燃燒</t>
    </r>
    <phoneticPr fontId="2" type="noConversion"/>
  </si>
  <si>
    <r>
      <t>02_</t>
    </r>
    <r>
      <rPr>
        <sz val="12"/>
        <color theme="0"/>
        <rFont val="細明體"/>
        <family val="3"/>
        <charset val="136"/>
      </rPr>
      <t>爆炸</t>
    </r>
    <phoneticPr fontId="2" type="noConversion"/>
  </si>
  <si>
    <r>
      <t>06_</t>
    </r>
    <r>
      <rPr>
        <sz val="12"/>
        <color theme="0"/>
        <rFont val="新細明體"/>
        <family val="2"/>
      </rPr>
      <t>冰凍</t>
    </r>
    <phoneticPr fontId="2" type="noConversion"/>
  </si>
  <si>
    <r>
      <t>07_</t>
    </r>
    <r>
      <rPr>
        <sz val="12"/>
        <color theme="0"/>
        <rFont val="細明體"/>
        <family val="3"/>
        <charset val="136"/>
      </rPr>
      <t>中毒</t>
    </r>
    <phoneticPr fontId="2" type="noConversion"/>
  </si>
  <si>
    <r>
      <t>08_</t>
    </r>
    <r>
      <rPr>
        <sz val="12"/>
        <color theme="0"/>
        <rFont val="細明體"/>
        <family val="3"/>
        <charset val="136"/>
      </rPr>
      <t>麻痺</t>
    </r>
    <phoneticPr fontId="2" type="noConversion"/>
  </si>
  <si>
    <r>
      <t>03_</t>
    </r>
    <r>
      <rPr>
        <sz val="12"/>
        <color theme="0"/>
        <rFont val="細明體"/>
        <family val="3"/>
        <charset val="136"/>
      </rPr>
      <t>放電</t>
    </r>
    <phoneticPr fontId="2" type="noConversion"/>
  </si>
  <si>
    <r>
      <t>04_</t>
    </r>
    <r>
      <rPr>
        <sz val="12"/>
        <color theme="0"/>
        <rFont val="細明體"/>
        <family val="3"/>
        <charset val="136"/>
      </rPr>
      <t>帶電</t>
    </r>
    <phoneticPr fontId="2" type="noConversion"/>
  </si>
  <si>
    <r>
      <t>09_</t>
    </r>
    <r>
      <rPr>
        <sz val="12"/>
        <color theme="0"/>
        <rFont val="新細明體"/>
        <family val="2"/>
      </rPr>
      <t>暈眩</t>
    </r>
    <phoneticPr fontId="2" type="noConversion"/>
  </si>
  <si>
    <r>
      <t>10_</t>
    </r>
    <r>
      <rPr>
        <sz val="12"/>
        <color theme="0"/>
        <rFont val="細明體"/>
        <family val="3"/>
        <charset val="136"/>
      </rPr>
      <t>失明</t>
    </r>
    <phoneticPr fontId="2" type="noConversion"/>
  </si>
  <si>
    <r>
      <t>11_</t>
    </r>
    <r>
      <rPr>
        <sz val="12"/>
        <color theme="0"/>
        <rFont val="細明體"/>
        <family val="3"/>
        <charset val="136"/>
      </rPr>
      <t>反彈</t>
    </r>
    <phoneticPr fontId="2" type="noConversion"/>
  </si>
  <si>
    <r>
      <rPr>
        <b/>
        <sz val="12"/>
        <color theme="1"/>
        <rFont val="細明體"/>
        <family val="3"/>
        <charset val="136"/>
      </rPr>
      <t>硬物</t>
    </r>
    <phoneticPr fontId="2" type="noConversion"/>
  </si>
  <si>
    <r>
      <rPr>
        <sz val="12"/>
        <color theme="1"/>
        <rFont val="細明體"/>
        <family val="3"/>
        <charset val="136"/>
      </rPr>
      <t>強爆炸</t>
    </r>
    <phoneticPr fontId="2" type="noConversion"/>
  </si>
  <si>
    <r>
      <rPr>
        <sz val="12"/>
        <color theme="0"/>
        <rFont val="細明體"/>
        <family val="3"/>
        <charset val="136"/>
      </rPr>
      <t>消滅</t>
    </r>
    <phoneticPr fontId="2" type="noConversion"/>
  </si>
  <si>
    <t>爆風</t>
    <phoneticPr fontId="2" type="noConversion"/>
  </si>
  <si>
    <r>
      <t>02_</t>
    </r>
    <r>
      <rPr>
        <sz val="12"/>
        <color theme="1"/>
        <rFont val="細明體"/>
        <family val="3"/>
        <charset val="136"/>
      </rPr>
      <t>爆炸</t>
    </r>
    <phoneticPr fontId="2" type="noConversion"/>
  </si>
  <si>
    <r>
      <rPr>
        <sz val="12"/>
        <color theme="1"/>
        <rFont val="細明體"/>
        <family val="3"/>
        <charset val="136"/>
      </rPr>
      <t>範圍增加</t>
    </r>
    <phoneticPr fontId="2" type="noConversion"/>
  </si>
  <si>
    <t>寒氣</t>
    <phoneticPr fontId="2" type="noConversion"/>
  </si>
  <si>
    <t>毒</t>
    <phoneticPr fontId="2" type="noConversion"/>
  </si>
  <si>
    <r>
      <t>+</t>
    </r>
    <r>
      <rPr>
        <sz val="12"/>
        <color theme="1"/>
        <rFont val="細明體"/>
        <family val="3"/>
        <charset val="136"/>
      </rPr>
      <t>毒</t>
    </r>
    <phoneticPr fontId="2" type="noConversion"/>
  </si>
  <si>
    <r>
      <rPr>
        <sz val="12"/>
        <color theme="1"/>
        <rFont val="細明體"/>
        <family val="3"/>
        <charset val="136"/>
      </rPr>
      <t>中斷</t>
    </r>
    <phoneticPr fontId="2" type="noConversion"/>
  </si>
  <si>
    <t>電</t>
    <phoneticPr fontId="2" type="noConversion"/>
  </si>
  <si>
    <t>閃光</t>
    <phoneticPr fontId="2" type="noConversion"/>
  </si>
  <si>
    <r>
      <t>09_</t>
    </r>
    <r>
      <rPr>
        <sz val="12"/>
        <color theme="1"/>
        <rFont val="新細明體"/>
        <family val="2"/>
      </rPr>
      <t>暈眩</t>
    </r>
    <phoneticPr fontId="2" type="noConversion"/>
  </si>
  <si>
    <t>煙霧</t>
    <phoneticPr fontId="2" type="noConversion"/>
  </si>
  <si>
    <r>
      <rPr>
        <sz val="12"/>
        <color theme="1"/>
        <rFont val="細明體"/>
        <family val="3"/>
        <charset val="136"/>
      </rPr>
      <t>範圍減小</t>
    </r>
    <phoneticPr fontId="2" type="noConversion"/>
  </si>
  <si>
    <r>
      <rPr>
        <sz val="12"/>
        <color theme="1"/>
        <rFont val="細明體"/>
        <family val="3"/>
        <charset val="136"/>
      </rPr>
      <t>超硬物</t>
    </r>
    <phoneticPr fontId="2" type="noConversion"/>
  </si>
  <si>
    <t>瞬間傷害</t>
    <phoneticPr fontId="2" type="noConversion"/>
  </si>
  <si>
    <t>瞬間狀態</t>
    <phoneticPr fontId="2" type="noConversion"/>
  </si>
  <si>
    <t>持續傷害</t>
    <phoneticPr fontId="2" type="noConversion"/>
  </si>
  <si>
    <t>持續狀態</t>
    <phoneticPr fontId="2" type="noConversion"/>
  </si>
  <si>
    <t>屬性</t>
    <phoneticPr fontId="2" type="noConversion"/>
  </si>
  <si>
    <t>Dizzy</t>
    <phoneticPr fontId="2" type="noConversion"/>
  </si>
  <si>
    <t>Attack</t>
    <phoneticPr fontId="2" type="noConversion"/>
  </si>
  <si>
    <t>Paralysis</t>
    <phoneticPr fontId="2" type="noConversion"/>
  </si>
  <si>
    <t>Lightning</t>
    <phoneticPr fontId="2" type="noConversion"/>
  </si>
  <si>
    <t>Scald</t>
    <phoneticPr fontId="2" type="noConversion"/>
  </si>
  <si>
    <t>Enum</t>
    <phoneticPr fontId="2" type="noConversion"/>
  </si>
  <si>
    <t>ID</t>
    <phoneticPr fontId="2" type="noConversion"/>
  </si>
  <si>
    <t>Giver</t>
    <phoneticPr fontId="2" type="noConversion"/>
  </si>
  <si>
    <t>光</t>
    <phoneticPr fontId="2" type="noConversion"/>
  </si>
  <si>
    <t>煙</t>
    <phoneticPr fontId="2" type="noConversion"/>
  </si>
  <si>
    <t>Electrified</t>
    <phoneticPr fontId="2" type="noConversion"/>
  </si>
  <si>
    <t>中文</t>
    <phoneticPr fontId="2" type="noConversion"/>
  </si>
  <si>
    <t>反應</t>
    <phoneticPr fontId="2" type="noConversion"/>
  </si>
  <si>
    <r>
      <rPr>
        <sz val="10"/>
        <rFont val="細明體"/>
        <family val="3"/>
        <charset val="136"/>
      </rPr>
      <t>乾</t>
    </r>
    <r>
      <rPr>
        <sz val="10"/>
        <rFont val="Consolas"/>
        <family val="3"/>
      </rPr>
      <t>(</t>
    </r>
    <r>
      <rPr>
        <sz val="10"/>
        <rFont val="細明體"/>
        <family val="3"/>
        <charset val="136"/>
      </rPr>
      <t>瞬間</t>
    </r>
    <r>
      <rPr>
        <sz val="10"/>
        <rFont val="Consolas"/>
        <family val="3"/>
      </rPr>
      <t>)</t>
    </r>
    <phoneticPr fontId="2" type="noConversion"/>
  </si>
  <si>
    <r>
      <rPr>
        <sz val="10"/>
        <color theme="1"/>
        <rFont val="細明體"/>
        <family val="3"/>
        <charset val="136"/>
      </rPr>
      <t>熱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傷害</t>
    </r>
    <r>
      <rPr>
        <sz val="10"/>
        <color theme="1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</si>
  <si>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冷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狀態</t>
    </r>
    <r>
      <rPr>
        <sz val="10"/>
        <color theme="0" tint="-0.34998626667073579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</si>
  <si>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濕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持續</t>
    </r>
    <r>
      <rPr>
        <sz val="10"/>
        <color theme="0" tint="-0.34998626667073579"/>
        <rFont val="Consolas"/>
        <family val="3"/>
      </rPr>
      <t>)</t>
    </r>
    <phoneticPr fontId="2" type="noConversion"/>
  </si>
  <si>
    <t>Slow</t>
  </si>
  <si>
    <t>Poison</t>
  </si>
  <si>
    <t>Freeze</t>
  </si>
  <si>
    <t>Frostbite</t>
  </si>
  <si>
    <t>Blind</t>
  </si>
  <si>
    <t>Burn</t>
  </si>
  <si>
    <t>Explosion</t>
  </si>
  <si>
    <t>劣瓷</t>
    <phoneticPr fontId="2" type="noConversion"/>
  </si>
  <si>
    <t>肉</t>
    <phoneticPr fontId="2" type="noConversion"/>
  </si>
  <si>
    <t>劣肉</t>
  </si>
  <si>
    <t>劣肉</t>
    <phoneticPr fontId="2" type="noConversion"/>
  </si>
  <si>
    <t>毀壞展開</t>
  </si>
  <si>
    <t>none</t>
    <phoneticPr fontId="2" type="noConversion"/>
  </si>
  <si>
    <t>凍　傷</t>
  </si>
  <si>
    <t>帶電</t>
    <phoneticPr fontId="2" type="noConversion"/>
  </si>
  <si>
    <t>Bleeding</t>
    <phoneticPr fontId="2" type="noConversion"/>
  </si>
  <si>
    <t>出血</t>
    <phoneticPr fontId="2" type="noConversion"/>
  </si>
  <si>
    <t>灼傷</t>
    <phoneticPr fontId="2" type="noConversion"/>
  </si>
  <si>
    <t>凍傷</t>
    <phoneticPr fontId="2" type="noConversion"/>
  </si>
  <si>
    <t>Impact</t>
  </si>
  <si>
    <r>
      <rPr>
        <sz val="12"/>
        <color rgb="FF92D050"/>
        <rFont val="Consolas"/>
        <family val="3"/>
      </rPr>
      <t>0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</si>
  <si>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92D050"/>
        <rFont val="Consolas"/>
        <family val="3"/>
      </rPr>
      <t>0</t>
    </r>
    <r>
      <rPr>
        <sz val="12"/>
        <color rgb="FF00B0F0"/>
        <rFont val="Consolas"/>
        <family val="3"/>
      </rPr>
      <t>0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</si>
  <si>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</si>
  <si>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00B0F0"/>
        <rFont val="Consolas"/>
        <family val="3"/>
      </rPr>
      <t>0</t>
    </r>
    <phoneticPr fontId="2" type="noConversion"/>
  </si>
  <si>
    <t>緩慢</t>
    <phoneticPr fontId="2" type="noConversion"/>
  </si>
  <si>
    <t>麻痺</t>
    <phoneticPr fontId="2" type="noConversion"/>
  </si>
  <si>
    <t>暈眩</t>
    <phoneticPr fontId="2" type="noConversion"/>
  </si>
  <si>
    <t>失明</t>
  </si>
  <si>
    <t>中毒</t>
    <phoneticPr fontId="2" type="noConversion"/>
  </si>
  <si>
    <t>冰凍</t>
    <phoneticPr fontId="2" type="noConversion"/>
  </si>
  <si>
    <t>反彈</t>
    <phoneticPr fontId="2" type="noConversion"/>
  </si>
  <si>
    <t>衝擊</t>
  </si>
  <si>
    <t>燃燒</t>
    <phoneticPr fontId="2" type="noConversion"/>
  </si>
  <si>
    <t>雷電</t>
    <phoneticPr fontId="2" type="noConversion"/>
  </si>
  <si>
    <t>打擊</t>
    <phoneticPr fontId="2" type="noConversion"/>
  </si>
  <si>
    <t>續火態</t>
    <phoneticPr fontId="2" type="noConversion"/>
  </si>
  <si>
    <t>水(濕冷)</t>
    <phoneticPr fontId="2" type="noConversion"/>
  </si>
  <si>
    <t>火(乾熱)</t>
    <phoneticPr fontId="2" type="noConversion"/>
  </si>
  <si>
    <t>地(乾冷)</t>
    <phoneticPr fontId="2" type="noConversion"/>
  </si>
  <si>
    <t>風(濕熱)</t>
    <phoneticPr fontId="2" type="noConversion"/>
  </si>
  <si>
    <t>混亂</t>
    <phoneticPr fontId="2" type="noConversion"/>
  </si>
  <si>
    <t>瞬間1持續0</t>
    <phoneticPr fontId="2" type="noConversion"/>
  </si>
  <si>
    <t>傷害1狀態0</t>
    <phoneticPr fontId="2" type="noConversion"/>
  </si>
  <si>
    <t>提升1降低0</t>
    <phoneticPr fontId="2" type="noConversion"/>
  </si>
  <si>
    <t>定義0補正1</t>
    <phoneticPr fontId="2" type="noConversion"/>
  </si>
  <si>
    <t>強度1範圍0</t>
    <phoneticPr fontId="2" type="noConversion"/>
  </si>
  <si>
    <t>ID</t>
    <phoneticPr fontId="2" type="noConversion"/>
  </si>
  <si>
    <t>反應</t>
    <phoneticPr fontId="2" type="noConversion"/>
  </si>
  <si>
    <t>補正</t>
    <phoneticPr fontId="2" type="noConversion"/>
  </si>
  <si>
    <t>name</t>
    <phoneticPr fontId="2" type="noConversion"/>
  </si>
  <si>
    <t>中文</t>
    <phoneticPr fontId="2" type="noConversion"/>
  </si>
  <si>
    <t>WallDeflect</t>
    <phoneticPr fontId="2" type="noConversion"/>
  </si>
  <si>
    <t>緩　慢</t>
  </si>
  <si>
    <t>中　毒</t>
  </si>
  <si>
    <t>冰　凍</t>
  </si>
  <si>
    <t>麻　痺</t>
    <phoneticPr fontId="2" type="noConversion"/>
  </si>
  <si>
    <t>帶　電</t>
    <phoneticPr fontId="2" type="noConversion"/>
  </si>
  <si>
    <t>衝　擊</t>
    <phoneticPr fontId="2" type="noConversion"/>
  </si>
  <si>
    <t>雷　電</t>
    <phoneticPr fontId="2" type="noConversion"/>
  </si>
  <si>
    <t>暈　眩</t>
    <phoneticPr fontId="2" type="noConversion"/>
  </si>
  <si>
    <t>出　血</t>
    <phoneticPr fontId="2" type="noConversion"/>
  </si>
  <si>
    <t>反　彈</t>
    <phoneticPr fontId="2" type="noConversion"/>
  </si>
  <si>
    <t>打　擊</t>
    <phoneticPr fontId="2" type="noConversion"/>
  </si>
  <si>
    <t>續火態</t>
    <phoneticPr fontId="2" type="noConversion"/>
  </si>
  <si>
    <t>燃　燒</t>
    <phoneticPr fontId="2" type="noConversion"/>
  </si>
  <si>
    <t>失　明</t>
    <phoneticPr fontId="2" type="noConversion"/>
  </si>
  <si>
    <t>灼　傷</t>
    <phoneticPr fontId="2" type="noConversion"/>
  </si>
  <si>
    <t>"</t>
    <phoneticPr fontId="2" type="noConversion"/>
  </si>
  <si>
    <t>_Clear</t>
    <phoneticPr fontId="2" type="noConversion"/>
  </si>
  <si>
    <t>_Spread</t>
    <phoneticPr fontId="2" type="noConversion"/>
  </si>
  <si>
    <t>_RangeDown</t>
    <phoneticPr fontId="2" type="noConversion"/>
  </si>
  <si>
    <t>_RangeUP</t>
    <phoneticPr fontId="2" type="noConversion"/>
  </si>
  <si>
    <t>_IntensityDown</t>
    <phoneticPr fontId="2" type="noConversion"/>
  </si>
  <si>
    <t>_IntensityUp</t>
    <phoneticPr fontId="2" type="noConversion"/>
  </si>
  <si>
    <t>",</t>
    <phoneticPr fontId="2" type="noConversion"/>
  </si>
  <si>
    <r>
      <t>_</t>
    </r>
    <r>
      <rPr>
        <sz val="8"/>
        <color theme="1"/>
        <rFont val="細明體"/>
        <family val="3"/>
        <charset val="136"/>
      </rPr>
      <t>解除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</si>
  <si>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散播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</si>
  <si>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範圍降低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</si>
  <si>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範圍提昇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</si>
  <si>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強度降低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</si>
  <si>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強度提昇</t>
    </r>
    <r>
      <rPr>
        <sz val="8"/>
        <color theme="1"/>
        <rFont val="Consolas"/>
        <family val="3"/>
      </rPr>
      <t>",</t>
    </r>
    <phoneticPr fontId="2" type="noConversion"/>
  </si>
  <si>
    <t>麻　痺</t>
  </si>
  <si>
    <t>帶　電</t>
  </si>
  <si>
    <t>衝　擊</t>
  </si>
  <si>
    <t>雷　電</t>
  </si>
  <si>
    <t>暈　眩</t>
  </si>
  <si>
    <t>出　血</t>
  </si>
  <si>
    <t>反　彈</t>
  </si>
  <si>
    <t>打　擊</t>
  </si>
  <si>
    <t>續火態</t>
  </si>
  <si>
    <t>燃　燒</t>
  </si>
  <si>
    <t>失　明</t>
  </si>
  <si>
    <t>灼　傷</t>
  </si>
  <si>
    <t>火</t>
    <phoneticPr fontId="2" type="noConversion"/>
  </si>
  <si>
    <t>冰</t>
    <phoneticPr fontId="2" type="noConversion"/>
  </si>
  <si>
    <t>雷</t>
    <phoneticPr fontId="2" type="noConversion"/>
  </si>
  <si>
    <t>閃光</t>
    <phoneticPr fontId="2" type="noConversion"/>
  </si>
  <si>
    <t>濃霧</t>
    <phoneticPr fontId="2" type="noConversion"/>
  </si>
  <si>
    <t>毒</t>
    <phoneticPr fontId="2" type="noConversion"/>
  </si>
  <si>
    <t>可燃物</t>
    <phoneticPr fontId="2" type="noConversion"/>
  </si>
  <si>
    <t>爆炸強化</t>
    <phoneticPr fontId="2" type="noConversion"/>
  </si>
  <si>
    <t>引怪</t>
    <phoneticPr fontId="2" type="noConversion"/>
  </si>
  <si>
    <t>炸藥桶爆炸</t>
    <phoneticPr fontId="2" type="noConversion"/>
  </si>
  <si>
    <t>炸藥桶炸彈爆炸</t>
    <phoneticPr fontId="2" type="noConversion"/>
  </si>
  <si>
    <t>炸彈 x 撞擊 爆炸</t>
    <phoneticPr fontId="2" type="noConversion"/>
  </si>
  <si>
    <t>瓦斯 x 炸藥桶 爆炸</t>
    <phoneticPr fontId="2" type="noConversion"/>
  </si>
  <si>
    <t>電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</si>
</sst>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&quot;可接觸&quot;"/>
    <numFmt numFmtId="177" formatCode="&quot;毀壞&quot;"/>
    <numFmt numFmtId="178" formatCode="0_);[Red]\(0\)"/>
    <numFmt numFmtId="179" formatCode="00"/>
    <numFmt numFmtId="180" formatCode="000000"/>
  </numFmts>
  <fonts count="55" x14ac:knownFonts="1">
    <font>
      <sz val="12"/>
      <color theme="1"/>
      <name val="新細明體"/>
      <family val="2"/>
      <scheme val="minor"/>
    </font>
    <font>
      <sz val="10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/>
      <name val="Adobe 繁黑體 Std B"/>
      <family val="2"/>
      <charset val="136"/>
    </font>
    <font>
      <sz val="10"/>
      <color theme="1"/>
      <name val="新細明體"/>
      <family val="1"/>
      <charset val="136"/>
      <scheme val="major"/>
    </font>
    <font>
      <sz val="10"/>
      <color rgb="FFFFC000"/>
      <name val="新細明體"/>
      <family val="1"/>
      <charset val="136"/>
      <scheme val="major"/>
    </font>
    <font>
      <sz val="10"/>
      <color theme="0"/>
      <name val="新細明體"/>
      <family val="1"/>
      <charset val="136"/>
      <scheme val="major"/>
    </font>
    <font>
      <sz val="10"/>
      <color rgb="FFFFC000"/>
      <name val="Adobe 繁黑體 Std B"/>
      <family val="2"/>
      <charset val="136"/>
    </font>
    <font>
      <sz val="10"/>
      <color theme="1"/>
      <name val="Adobe 繁黑體 Std B"/>
      <family val="1"/>
      <charset val="136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sz val="12"/>
      <color theme="1"/>
      <name val="新細明體"/>
      <family val="2"/>
    </font>
    <font>
      <sz val="12"/>
      <color theme="0"/>
      <name val="Consolas"/>
      <family val="3"/>
    </font>
    <font>
      <sz val="12"/>
      <color theme="1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0"/>
      <name val="細明體"/>
      <family val="3"/>
      <charset val="136"/>
    </font>
    <font>
      <sz val="12"/>
      <color theme="0"/>
      <name val="新細明體"/>
      <family val="2"/>
    </font>
    <font>
      <sz val="10"/>
      <color theme="1"/>
      <name val="細明體"/>
      <family val="3"/>
      <charset val="136"/>
    </font>
    <font>
      <b/>
      <sz val="10"/>
      <color theme="0"/>
      <name val="細明體"/>
      <family val="3"/>
      <charset val="136"/>
    </font>
    <font>
      <sz val="10"/>
      <color theme="1"/>
      <name val="Consolas"/>
      <family val="3"/>
    </font>
    <font>
      <sz val="12"/>
      <color rgb="FFFFC000"/>
      <name val="Consolas"/>
      <family val="3"/>
    </font>
    <font>
      <b/>
      <sz val="12"/>
      <color rgb="FFFFC000"/>
      <name val="Consolas"/>
      <family val="3"/>
    </font>
    <font>
      <sz val="10"/>
      <color theme="5" tint="-0.249977111117893"/>
      <name val="細明體"/>
      <family val="3"/>
      <charset val="136"/>
    </font>
    <font>
      <sz val="10"/>
      <color theme="9" tint="-0.249977111117893"/>
      <name val="細明體"/>
      <family val="3"/>
      <charset val="136"/>
    </font>
    <font>
      <sz val="10"/>
      <color theme="6" tint="-0.249977111117893"/>
      <name val="細明體"/>
      <family val="3"/>
      <charset val="136"/>
    </font>
    <font>
      <b/>
      <sz val="12"/>
      <color theme="1"/>
      <name val="Consolas"/>
    </font>
    <font>
      <b/>
      <sz val="12"/>
      <name val="Consolas"/>
      <family val="3"/>
    </font>
    <font>
      <b/>
      <sz val="12"/>
      <color theme="0" tint="-0.14999847407452621"/>
      <name val="Consolas"/>
      <family val="3"/>
    </font>
    <font>
      <sz val="8"/>
      <color rgb="FF000000"/>
      <name val="Consolas"/>
      <family val="3"/>
    </font>
    <font>
      <sz val="12"/>
      <color rgb="FF000000"/>
      <name val="微軟正黑體"/>
      <family val="2"/>
      <charset val="136"/>
    </font>
    <font>
      <sz val="8"/>
      <name val="Consolas"/>
      <family val="3"/>
    </font>
    <font>
      <sz val="8"/>
      <color theme="5" tint="-0.249977111117893"/>
      <name val="Consolas"/>
      <family val="3"/>
    </font>
    <font>
      <sz val="8"/>
      <color rgb="FFFF0000"/>
      <name val="Consolas"/>
      <family val="3"/>
    </font>
    <font>
      <sz val="10"/>
      <name val="Consolas"/>
      <family val="3"/>
    </font>
    <font>
      <sz val="10"/>
      <name val="細明體"/>
      <family val="3"/>
      <charset val="136"/>
    </font>
    <font>
      <sz val="10"/>
      <color theme="0" tint="-0.34998626667073579"/>
      <name val="Consolas"/>
      <family val="3"/>
    </font>
    <font>
      <sz val="10"/>
      <color theme="0" tint="-0.34998626667073579"/>
      <name val="細明體"/>
      <family val="3"/>
      <charset val="136"/>
    </font>
    <font>
      <sz val="12"/>
      <color rgb="FF92D050"/>
      <name val="Consolas"/>
      <family val="3"/>
    </font>
    <font>
      <sz val="12"/>
      <color rgb="FFFF0000"/>
      <name val="Consolas"/>
      <family val="3"/>
    </font>
    <font>
      <sz val="12"/>
      <color rgb="FF00B0F0"/>
      <name val="Consolas"/>
      <family val="3"/>
    </font>
    <font>
      <sz val="10"/>
      <color theme="8" tint="-0.249977111117893"/>
      <name val="細明體"/>
      <family val="3"/>
      <charset val="136"/>
    </font>
    <font>
      <sz val="12"/>
      <color rgb="FFFF0000"/>
      <name val="微軟正黑體"/>
      <family val="2"/>
      <charset val="136"/>
    </font>
    <font>
      <sz val="9"/>
      <color theme="0" tint="-0.34998626667073579"/>
      <name val="細明體"/>
      <family val="3"/>
      <charset val="136"/>
    </font>
    <font>
      <b/>
      <sz val="12"/>
      <color theme="0" tint="-0.249977111117893"/>
      <name val="Consolas"/>
      <family val="3"/>
    </font>
    <font>
      <sz val="8"/>
      <color theme="1"/>
      <name val="Consolas"/>
      <family val="3"/>
    </font>
    <font>
      <sz val="8"/>
      <color theme="8" tint="-0.249977111117893"/>
      <name val="Consolas"/>
      <family val="3"/>
    </font>
    <font>
      <sz val="8"/>
      <color theme="6" tint="-0.249977111117893"/>
      <name val="Consolas"/>
      <family val="3"/>
    </font>
    <font>
      <sz val="8"/>
      <color theme="9" tint="-0.249977111117893"/>
      <name val="Consolas"/>
      <family val="3"/>
    </font>
    <font>
      <sz val="8"/>
      <color theme="6" tint="-0.249977111117893"/>
      <name val="細明體"/>
      <family val="3"/>
      <charset val="136"/>
    </font>
    <font>
      <sz val="8"/>
      <color theme="9" tint="-0.249977111117893"/>
      <name val="細明體"/>
      <family val="3"/>
      <charset val="136"/>
    </font>
    <font>
      <sz val="8"/>
      <color theme="1"/>
      <name val="細明體"/>
      <family val="3"/>
      <charset val="136"/>
    </font>
    <font>
      <sz val="8"/>
      <color theme="8" tint="-0.249977111117893"/>
      <name val="細明體"/>
      <family val="3"/>
      <charset val="136"/>
    </font>
    <font>
      <sz val="8"/>
      <color theme="5" tint="-0.249977111117893"/>
      <name val="細明體"/>
      <family val="3"/>
      <charset val="136"/>
    </font>
    <font>
      <sz val="12"/>
      <color rgb="FFFF0000"/>
      <name val="新細明體"/>
      <family val="1"/>
      <charset val="136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4"/>
        <bgColor theme="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0" applyFont="1" applyFill="1" applyAlignment="1">
      <alignment horizontal="left"/>
    </xf>
    <xf numFmtId="0" fontId="5" fillId="0" borderId="0" xfId="0" applyFont="1"/>
    <xf numFmtId="0" fontId="6" fillId="4" borderId="0" xfId="0" applyFont="1" applyFill="1" applyAlignment="1">
      <alignment horizontal="left"/>
    </xf>
    <xf numFmtId="0" fontId="5" fillId="3" borderId="0" xfId="0" applyFont="1" applyFill="1" applyAlignment="1">
      <alignment horizontal="center" shrinkToFit="1"/>
    </xf>
    <xf numFmtId="176" fontId="5" fillId="0" borderId="0" xfId="0" applyNumberFormat="1" applyFont="1" applyAlignment="1">
      <alignment horizontal="center" wrapText="1"/>
    </xf>
    <xf numFmtId="0" fontId="5" fillId="4" borderId="0" xfId="0" applyFont="1" applyFill="1" applyAlignment="1">
      <alignment horizontal="center" wrapText="1"/>
    </xf>
    <xf numFmtId="0" fontId="6" fillId="5" borderId="0" xfId="0" applyFont="1" applyFill="1" applyAlignment="1">
      <alignment horizontal="left"/>
    </xf>
    <xf numFmtId="0" fontId="7" fillId="3" borderId="0" xfId="0" applyFont="1" applyFill="1" applyAlignment="1">
      <alignment wrapText="1"/>
    </xf>
    <xf numFmtId="0" fontId="5" fillId="0" borderId="0" xfId="0" pivotButton="1" applyFont="1" applyAlignment="1">
      <alignment wrapText="1"/>
    </xf>
    <xf numFmtId="0" fontId="8" fillId="4" borderId="0" xfId="0" applyFont="1" applyFill="1" applyAlignment="1">
      <alignment horizontal="left"/>
    </xf>
    <xf numFmtId="0" fontId="5" fillId="4" borderId="0" xfId="0" applyFont="1" applyFill="1"/>
    <xf numFmtId="0" fontId="5" fillId="3" borderId="0" xfId="0" applyFont="1" applyFill="1"/>
    <xf numFmtId="0" fontId="7" fillId="3" borderId="0" xfId="0" applyFont="1" applyFill="1"/>
    <xf numFmtId="177" fontId="5" fillId="0" borderId="0" xfId="0" applyNumberFormat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 shrinkToFit="1"/>
    </xf>
    <xf numFmtId="0" fontId="8" fillId="7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1" fillId="0" borderId="0" xfId="0" pivotButton="1" applyFont="1" applyAlignment="1">
      <alignment horizontal="center"/>
    </xf>
    <xf numFmtId="0" fontId="1" fillId="4" borderId="0" xfId="0" applyFont="1" applyFill="1" applyAlignment="1">
      <alignment horizontal="centerContinuous" vertical="center" readingOrder="1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0" fillId="12" borderId="0" xfId="0" applyFill="1"/>
    <xf numFmtId="0" fontId="4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8" borderId="2" xfId="0" applyFont="1" applyFill="1" applyBorder="1" applyAlignment="1">
      <alignment vertical="center"/>
    </xf>
    <xf numFmtId="0" fontId="13" fillId="8" borderId="4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0" fontId="13" fillId="8" borderId="6" xfId="0" applyFont="1" applyFill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1" fillId="15" borderId="4" xfId="0" applyFont="1" applyFill="1" applyBorder="1" applyAlignment="1">
      <alignment vertical="center"/>
    </xf>
    <xf numFmtId="0" fontId="11" fillId="0" borderId="0" xfId="0" applyFont="1" applyAlignment="1">
      <alignment horizontal="left" vertical="top" shrinkToFit="1"/>
    </xf>
    <xf numFmtId="0" fontId="14" fillId="0" borderId="0" xfId="0" applyFont="1" applyAlignment="1">
      <alignment horizontal="left" vertical="top" shrinkToFit="1"/>
    </xf>
    <xf numFmtId="0" fontId="11" fillId="0" borderId="0" xfId="0" applyFont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3" fillId="20" borderId="4" xfId="0" applyFont="1" applyFill="1" applyBorder="1" applyAlignment="1">
      <alignment vertical="center"/>
    </xf>
    <xf numFmtId="0" fontId="11" fillId="18" borderId="4" xfId="0" applyFont="1" applyFill="1" applyBorder="1" applyAlignment="1">
      <alignment vertical="center"/>
    </xf>
    <xf numFmtId="0" fontId="11" fillId="10" borderId="4" xfId="0" quotePrefix="1" applyFont="1" applyFill="1" applyBorder="1" applyAlignment="1">
      <alignment vertical="center"/>
    </xf>
    <xf numFmtId="0" fontId="22" fillId="8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178" fontId="11" fillId="9" borderId="0" xfId="0" quotePrefix="1" applyNumberFormat="1" applyFont="1" applyFill="1" applyAlignment="1">
      <alignment horizontal="center" vertical="center"/>
    </xf>
    <xf numFmtId="178" fontId="11" fillId="14" borderId="0" xfId="0" quotePrefix="1" applyNumberFormat="1" applyFont="1" applyFill="1" applyAlignment="1">
      <alignment horizontal="center" vertical="center"/>
    </xf>
    <xf numFmtId="178" fontId="11" fillId="21" borderId="0" xfId="0" applyNumberFormat="1" applyFont="1" applyFill="1" applyAlignment="1">
      <alignment horizontal="center" vertical="center"/>
    </xf>
    <xf numFmtId="178" fontId="11" fillId="22" borderId="0" xfId="0" applyNumberFormat="1" applyFont="1" applyFill="1" applyAlignment="1">
      <alignment horizontal="center" vertical="center"/>
    </xf>
    <xf numFmtId="178" fontId="11" fillId="9" borderId="0" xfId="0" applyNumberFormat="1" applyFont="1" applyFill="1" applyAlignment="1">
      <alignment horizontal="center" vertical="center"/>
    </xf>
    <xf numFmtId="0" fontId="26" fillId="0" borderId="0" xfId="0" applyNumberFormat="1" applyFont="1" applyAlignment="1">
      <alignment horizontal="center"/>
    </xf>
    <xf numFmtId="0" fontId="25" fillId="19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Continuous" vertical="top" wrapText="1" shrinkToFit="1"/>
    </xf>
    <xf numFmtId="0" fontId="14" fillId="0" borderId="3" xfId="0" applyFont="1" applyBorder="1" applyAlignment="1">
      <alignment horizontal="centerContinuous" vertical="top" wrapText="1" shrinkToFit="1"/>
    </xf>
    <xf numFmtId="1" fontId="27" fillId="16" borderId="0" xfId="0" applyNumberFormat="1" applyFont="1" applyFill="1" applyBorder="1" applyAlignment="1">
      <alignment horizontal="center" vertical="center"/>
    </xf>
    <xf numFmtId="1" fontId="27" fillId="17" borderId="0" xfId="0" applyNumberFormat="1" applyFont="1" applyFill="1" applyBorder="1" applyAlignment="1">
      <alignment horizontal="center" vertical="center"/>
    </xf>
    <xf numFmtId="1" fontId="27" fillId="19" borderId="0" xfId="0" applyNumberFormat="1" applyFont="1" applyFill="1" applyBorder="1" applyAlignment="1">
      <alignment horizontal="center" vertical="center"/>
    </xf>
    <xf numFmtId="1" fontId="28" fillId="23" borderId="0" xfId="0" applyNumberFormat="1" applyFont="1" applyFill="1" applyBorder="1" applyAlignment="1">
      <alignment horizontal="center" vertical="center"/>
    </xf>
    <xf numFmtId="1" fontId="27" fillId="13" borderId="0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79" fontId="13" fillId="11" borderId="2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top" shrinkToFit="1"/>
    </xf>
    <xf numFmtId="0" fontId="29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80" fontId="11" fillId="9" borderId="0" xfId="0" quotePrefix="1" applyNumberFormat="1" applyFont="1" applyFill="1" applyAlignment="1">
      <alignment horizontal="center" vertical="center"/>
    </xf>
    <xf numFmtId="180" fontId="11" fillId="14" borderId="0" xfId="0" quotePrefix="1" applyNumberFormat="1" applyFont="1" applyFill="1" applyAlignment="1">
      <alignment horizontal="center" vertical="center"/>
    </xf>
    <xf numFmtId="180" fontId="11" fillId="21" borderId="0" xfId="0" applyNumberFormat="1" applyFont="1" applyFill="1" applyAlignment="1">
      <alignment horizontal="center" vertical="center"/>
    </xf>
    <xf numFmtId="180" fontId="11" fillId="22" borderId="0" xfId="0" applyNumberFormat="1" applyFont="1" applyFill="1" applyAlignment="1">
      <alignment horizontal="center" vertical="center"/>
    </xf>
    <xf numFmtId="180" fontId="11" fillId="9" borderId="0" xfId="0" applyNumberFormat="1" applyFont="1" applyFill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Fill="1" applyAlignment="1">
      <alignment vertical="center"/>
    </xf>
    <xf numFmtId="0" fontId="34" fillId="27" borderId="2" xfId="0" applyFont="1" applyFill="1" applyBorder="1" applyAlignment="1">
      <alignment horizontal="center" vertical="center"/>
    </xf>
    <xf numFmtId="0" fontId="20" fillId="28" borderId="2" xfId="0" applyFont="1" applyFill="1" applyBorder="1" applyAlignment="1">
      <alignment horizontal="center" vertical="center"/>
    </xf>
    <xf numFmtId="0" fontId="36" fillId="7" borderId="2" xfId="0" applyFont="1" applyFill="1" applyBorder="1" applyAlignment="1">
      <alignment horizontal="center" vertical="center"/>
    </xf>
    <xf numFmtId="0" fontId="36" fillId="25" borderId="2" xfId="0" applyFont="1" applyFill="1" applyBorder="1" applyAlignment="1">
      <alignment horizontal="center" vertical="center"/>
    </xf>
    <xf numFmtId="49" fontId="13" fillId="11" borderId="2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29" fillId="0" borderId="0" xfId="0" applyNumberFormat="1" applyFont="1" applyAlignment="1">
      <alignment vertical="center"/>
    </xf>
    <xf numFmtId="0" fontId="42" fillId="0" borderId="0" xfId="0" applyFont="1" applyAlignment="1">
      <alignment vertical="center"/>
    </xf>
    <xf numFmtId="0" fontId="41" fillId="16" borderId="2" xfId="0" applyFont="1" applyFill="1" applyBorder="1" applyAlignment="1">
      <alignment horizontal="center" vertical="center"/>
    </xf>
    <xf numFmtId="0" fontId="41" fillId="19" borderId="2" xfId="0" applyFont="1" applyFill="1" applyBorder="1" applyAlignment="1">
      <alignment horizontal="center" vertical="center"/>
    </xf>
    <xf numFmtId="0" fontId="41" fillId="17" borderId="2" xfId="0" applyFont="1" applyFill="1" applyBorder="1" applyAlignment="1">
      <alignment horizontal="center" vertical="center"/>
    </xf>
    <xf numFmtId="0" fontId="25" fillId="16" borderId="2" xfId="0" applyFont="1" applyFill="1" applyBorder="1" applyAlignment="1">
      <alignment horizontal="center" vertical="center"/>
    </xf>
    <xf numFmtId="0" fontId="24" fillId="16" borderId="2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3" fillId="19" borderId="2" xfId="0" applyFont="1" applyFill="1" applyBorder="1" applyAlignment="1">
      <alignment horizontal="center" vertical="center"/>
    </xf>
    <xf numFmtId="0" fontId="23" fillId="17" borderId="2" xfId="0" applyFont="1" applyFill="1" applyBorder="1" applyAlignment="1">
      <alignment horizontal="center" vertical="center"/>
    </xf>
    <xf numFmtId="179" fontId="43" fillId="11" borderId="2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24" fillId="25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41" fillId="26" borderId="2" xfId="0" applyFont="1" applyFill="1" applyBorder="1" applyAlignment="1">
      <alignment horizontal="center" vertical="center"/>
    </xf>
    <xf numFmtId="0" fontId="23" fillId="26" borderId="2" xfId="0" applyFont="1" applyFill="1" applyBorder="1" applyAlignment="1">
      <alignment horizontal="center" vertical="center"/>
    </xf>
    <xf numFmtId="0" fontId="24" fillId="24" borderId="2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Continuous" vertical="top" wrapText="1" shrinkToFit="1"/>
    </xf>
    <xf numFmtId="0" fontId="18" fillId="0" borderId="0" xfId="0" applyFont="1" applyAlignment="1">
      <alignment horizontal="centerContinuous" vertical="top" wrapText="1" shrinkToFit="1"/>
    </xf>
    <xf numFmtId="0" fontId="18" fillId="0" borderId="3" xfId="0" applyFont="1" applyBorder="1" applyAlignment="1">
      <alignment horizontal="left" vertical="top" wrapText="1" shrinkToFit="1"/>
    </xf>
    <xf numFmtId="0" fontId="18" fillId="0" borderId="0" xfId="0" applyFont="1" applyAlignment="1">
      <alignment horizontal="left" vertical="top" wrapText="1" shrinkToFit="1"/>
    </xf>
    <xf numFmtId="1" fontId="27" fillId="29" borderId="0" xfId="0" applyNumberFormat="1" applyFont="1" applyFill="1" applyBorder="1" applyAlignment="1">
      <alignment horizontal="center" vertical="center"/>
    </xf>
    <xf numFmtId="1" fontId="44" fillId="23" borderId="0" xfId="0" applyNumberFormat="1" applyFont="1" applyFill="1" applyBorder="1" applyAlignment="1">
      <alignment horizontal="center" vertical="center"/>
    </xf>
    <xf numFmtId="1" fontId="44" fillId="29" borderId="0" xfId="0" applyNumberFormat="1" applyFont="1" applyFill="1" applyBorder="1" applyAlignment="1">
      <alignment horizontal="center" vertical="center"/>
    </xf>
    <xf numFmtId="1" fontId="27" fillId="29" borderId="0" xfId="0" applyNumberFormat="1" applyFont="1" applyFill="1" applyAlignment="1">
      <alignment horizontal="center" vertical="center"/>
    </xf>
    <xf numFmtId="1" fontId="44" fillId="23" borderId="0" xfId="0" applyNumberFormat="1" applyFont="1" applyFill="1" applyAlignment="1">
      <alignment horizontal="center" vertical="center"/>
    </xf>
    <xf numFmtId="1" fontId="44" fillId="29" borderId="0" xfId="0" applyNumberFormat="1" applyFont="1" applyFill="1" applyAlignment="1">
      <alignment horizontal="center" vertical="center"/>
    </xf>
    <xf numFmtId="0" fontId="14" fillId="0" borderId="0" xfId="0" applyFont="1" applyBorder="1" applyAlignment="1">
      <alignment horizontal="left" vertical="top" shrinkToFit="1"/>
    </xf>
    <xf numFmtId="0" fontId="45" fillId="0" borderId="0" xfId="0" applyFont="1" applyBorder="1" applyAlignment="1">
      <alignment horizontal="center" vertical="center"/>
    </xf>
    <xf numFmtId="0" fontId="46" fillId="16" borderId="0" xfId="0" applyFont="1" applyFill="1" applyBorder="1" applyAlignment="1">
      <alignment vertical="center"/>
    </xf>
    <xf numFmtId="0" fontId="47" fillId="16" borderId="0" xfId="0" applyFont="1" applyFill="1" applyBorder="1" applyAlignment="1">
      <alignment vertical="center"/>
    </xf>
    <xf numFmtId="0" fontId="48" fillId="16" borderId="0" xfId="0" applyFont="1" applyFill="1" applyBorder="1" applyAlignment="1">
      <alignment vertical="center"/>
    </xf>
    <xf numFmtId="0" fontId="32" fillId="16" borderId="0" xfId="0" applyFont="1" applyFill="1" applyBorder="1" applyAlignment="1">
      <alignment vertical="center"/>
    </xf>
    <xf numFmtId="0" fontId="46" fillId="19" borderId="0" xfId="0" applyFont="1" applyFill="1" applyBorder="1" applyAlignment="1">
      <alignment vertical="center"/>
    </xf>
    <xf numFmtId="0" fontId="32" fillId="19" borderId="0" xfId="0" applyFont="1" applyFill="1" applyBorder="1" applyAlignment="1">
      <alignment vertical="center"/>
    </xf>
    <xf numFmtId="0" fontId="46" fillId="17" borderId="0" xfId="0" applyFont="1" applyFill="1" applyBorder="1" applyAlignment="1">
      <alignment vertical="center"/>
    </xf>
    <xf numFmtId="0" fontId="47" fillId="17" borderId="0" xfId="0" applyFont="1" applyFill="1" applyBorder="1" applyAlignment="1">
      <alignment vertical="center"/>
    </xf>
    <xf numFmtId="0" fontId="48" fillId="17" borderId="0" xfId="0" applyFont="1" applyFill="1" applyBorder="1" applyAlignment="1">
      <alignment vertical="center"/>
    </xf>
    <xf numFmtId="0" fontId="32" fillId="17" borderId="0" xfId="0" applyFont="1" applyFill="1" applyBorder="1" applyAlignment="1">
      <alignment vertical="center"/>
    </xf>
    <xf numFmtId="0" fontId="46" fillId="13" borderId="0" xfId="0" applyFont="1" applyFill="1" applyBorder="1" applyAlignment="1">
      <alignment vertical="center"/>
    </xf>
    <xf numFmtId="0" fontId="47" fillId="13" borderId="0" xfId="0" applyFont="1" applyFill="1" applyBorder="1" applyAlignment="1">
      <alignment vertical="center"/>
    </xf>
    <xf numFmtId="0" fontId="48" fillId="13" borderId="0" xfId="0" applyFont="1" applyFill="1" applyBorder="1" applyAlignment="1">
      <alignment vertical="center"/>
    </xf>
    <xf numFmtId="0" fontId="32" fillId="13" borderId="0" xfId="0" applyFont="1" applyFill="1" applyBorder="1" applyAlignment="1">
      <alignment vertical="center"/>
    </xf>
    <xf numFmtId="0" fontId="45" fillId="30" borderId="1" xfId="0" applyFont="1" applyFill="1" applyBorder="1" applyAlignment="1">
      <alignment horizontal="left" vertical="center"/>
    </xf>
    <xf numFmtId="0" fontId="45" fillId="30" borderId="0" xfId="0" applyFont="1" applyFill="1" applyBorder="1" applyAlignment="1">
      <alignment horizontal="left" vertical="center"/>
    </xf>
    <xf numFmtId="0" fontId="46" fillId="16" borderId="0" xfId="0" applyFont="1" applyFill="1" applyBorder="1" applyAlignment="1">
      <alignment horizontal="left" vertical="center"/>
    </xf>
    <xf numFmtId="0" fontId="45" fillId="0" borderId="0" xfId="0" applyFont="1" applyBorder="1" applyAlignment="1">
      <alignment horizontal="left" vertical="center"/>
    </xf>
    <xf numFmtId="0" fontId="47" fillId="16" borderId="0" xfId="0" applyFont="1" applyFill="1" applyBorder="1" applyAlignment="1">
      <alignment horizontal="left" vertical="center"/>
    </xf>
    <xf numFmtId="0" fontId="48" fillId="16" borderId="0" xfId="0" applyFont="1" applyFill="1" applyBorder="1" applyAlignment="1">
      <alignment horizontal="left" vertical="center"/>
    </xf>
    <xf numFmtId="0" fontId="32" fillId="16" borderId="0" xfId="0" applyFont="1" applyFill="1" applyBorder="1" applyAlignment="1">
      <alignment horizontal="left" vertical="center"/>
    </xf>
    <xf numFmtId="0" fontId="46" fillId="19" borderId="1" xfId="0" applyFont="1" applyFill="1" applyBorder="1" applyAlignment="1">
      <alignment horizontal="left" vertical="center"/>
    </xf>
    <xf numFmtId="0" fontId="46" fillId="19" borderId="0" xfId="0" applyFont="1" applyFill="1" applyBorder="1" applyAlignment="1">
      <alignment horizontal="left" vertical="center"/>
    </xf>
    <xf numFmtId="0" fontId="49" fillId="19" borderId="0" xfId="0" applyFont="1" applyFill="1" applyBorder="1" applyAlignment="1">
      <alignment horizontal="left" vertical="center"/>
    </xf>
    <xf numFmtId="0" fontId="50" fillId="19" borderId="0" xfId="0" applyFont="1" applyFill="1" applyBorder="1" applyAlignment="1">
      <alignment horizontal="left" vertical="center"/>
    </xf>
    <xf numFmtId="0" fontId="32" fillId="19" borderId="1" xfId="0" applyFont="1" applyFill="1" applyBorder="1" applyAlignment="1">
      <alignment horizontal="left" vertical="center"/>
    </xf>
    <xf numFmtId="0" fontId="32" fillId="19" borderId="0" xfId="0" applyFont="1" applyFill="1" applyBorder="1" applyAlignment="1">
      <alignment horizontal="left" vertical="center"/>
    </xf>
    <xf numFmtId="0" fontId="46" fillId="17" borderId="0" xfId="0" applyFont="1" applyFill="1" applyBorder="1" applyAlignment="1">
      <alignment horizontal="left" vertical="center"/>
    </xf>
    <xf numFmtId="0" fontId="47" fillId="17" borderId="0" xfId="0" applyFont="1" applyFill="1" applyBorder="1" applyAlignment="1">
      <alignment horizontal="left" vertical="center"/>
    </xf>
    <xf numFmtId="0" fontId="48" fillId="17" borderId="0" xfId="0" applyFont="1" applyFill="1" applyBorder="1" applyAlignment="1">
      <alignment horizontal="left" vertical="center"/>
    </xf>
    <xf numFmtId="0" fontId="32" fillId="17" borderId="0" xfId="0" applyFont="1" applyFill="1" applyBorder="1" applyAlignment="1">
      <alignment horizontal="left" vertical="center"/>
    </xf>
    <xf numFmtId="0" fontId="46" fillId="13" borderId="0" xfId="0" applyFont="1" applyFill="1" applyBorder="1" applyAlignment="1">
      <alignment horizontal="left" vertical="center"/>
    </xf>
    <xf numFmtId="0" fontId="47" fillId="13" borderId="0" xfId="0" applyFont="1" applyFill="1" applyBorder="1" applyAlignment="1">
      <alignment horizontal="left" vertical="center"/>
    </xf>
    <xf numFmtId="0" fontId="48" fillId="13" borderId="0" xfId="0" applyFont="1" applyFill="1" applyBorder="1" applyAlignment="1">
      <alignment horizontal="left" vertical="center"/>
    </xf>
    <xf numFmtId="0" fontId="32" fillId="13" borderId="0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45" fillId="0" borderId="0" xfId="0" applyFont="1" applyAlignment="1">
      <alignment vertical="center"/>
    </xf>
    <xf numFmtId="0" fontId="29" fillId="0" borderId="0" xfId="0" applyNumberFormat="1" applyFont="1" applyAlignment="1">
      <alignment horizontal="left" vertical="center"/>
    </xf>
    <xf numFmtId="0" fontId="29" fillId="0" borderId="0" xfId="0" applyNumberFormat="1" applyFont="1" applyBorder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47" fillId="19" borderId="1" xfId="0" applyFont="1" applyFill="1" applyBorder="1" applyAlignment="1">
      <alignment horizontal="left" vertical="center"/>
    </xf>
    <xf numFmtId="0" fontId="48" fillId="19" borderId="1" xfId="0" applyFont="1" applyFill="1" applyBorder="1" applyAlignment="1">
      <alignment horizontal="left" vertical="center"/>
    </xf>
    <xf numFmtId="0" fontId="47" fillId="19" borderId="0" xfId="0" applyFont="1" applyFill="1" applyBorder="1" applyAlignment="1">
      <alignment horizontal="left" vertical="center"/>
    </xf>
    <xf numFmtId="0" fontId="48" fillId="19" borderId="0" xfId="0" applyFont="1" applyFill="1" applyBorder="1" applyAlignment="1">
      <alignment horizontal="left" vertical="center"/>
    </xf>
    <xf numFmtId="0" fontId="47" fillId="19" borderId="0" xfId="0" applyFont="1" applyFill="1" applyBorder="1" applyAlignment="1">
      <alignment vertical="center"/>
    </xf>
    <xf numFmtId="0" fontId="48" fillId="19" borderId="0" xfId="0" applyFont="1" applyFill="1" applyBorder="1" applyAlignment="1">
      <alignment vertical="center"/>
    </xf>
    <xf numFmtId="0" fontId="46" fillId="16" borderId="7" xfId="0" applyFont="1" applyFill="1" applyBorder="1" applyAlignment="1">
      <alignment horizontal="right" vertical="center"/>
    </xf>
    <xf numFmtId="0" fontId="47" fillId="16" borderId="7" xfId="0" applyFont="1" applyFill="1" applyBorder="1" applyAlignment="1">
      <alignment horizontal="right" vertical="center"/>
    </xf>
    <xf numFmtId="0" fontId="48" fillId="16" borderId="7" xfId="0" applyFont="1" applyFill="1" applyBorder="1" applyAlignment="1">
      <alignment horizontal="right" vertical="center"/>
    </xf>
    <xf numFmtId="0" fontId="32" fillId="16" borderId="7" xfId="0" applyFont="1" applyFill="1" applyBorder="1" applyAlignment="1">
      <alignment horizontal="right" vertical="center"/>
    </xf>
    <xf numFmtId="0" fontId="46" fillId="19" borderId="1" xfId="0" applyFont="1" applyFill="1" applyBorder="1" applyAlignment="1">
      <alignment horizontal="right" vertical="center"/>
    </xf>
    <xf numFmtId="0" fontId="47" fillId="19" borderId="1" xfId="0" applyFont="1" applyFill="1" applyBorder="1" applyAlignment="1">
      <alignment horizontal="right" vertical="center"/>
    </xf>
    <xf numFmtId="0" fontId="48" fillId="19" borderId="1" xfId="0" applyFont="1" applyFill="1" applyBorder="1" applyAlignment="1">
      <alignment horizontal="right" vertical="center"/>
    </xf>
    <xf numFmtId="0" fontId="32" fillId="19" borderId="1" xfId="0" applyFont="1" applyFill="1" applyBorder="1" applyAlignment="1">
      <alignment horizontal="right" vertical="center"/>
    </xf>
    <xf numFmtId="0" fontId="46" fillId="17" borderId="7" xfId="0" applyFont="1" applyFill="1" applyBorder="1" applyAlignment="1">
      <alignment horizontal="right" vertical="center"/>
    </xf>
    <xf numFmtId="0" fontId="47" fillId="17" borderId="7" xfId="0" applyFont="1" applyFill="1" applyBorder="1" applyAlignment="1">
      <alignment horizontal="right" vertical="center"/>
    </xf>
    <xf numFmtId="0" fontId="48" fillId="17" borderId="0" xfId="0" applyFont="1" applyFill="1" applyBorder="1" applyAlignment="1">
      <alignment horizontal="right" vertical="center"/>
    </xf>
    <xf numFmtId="0" fontId="32" fillId="17" borderId="7" xfId="0" applyFont="1" applyFill="1" applyBorder="1" applyAlignment="1">
      <alignment horizontal="right" vertical="center"/>
    </xf>
    <xf numFmtId="0" fontId="46" fillId="13" borderId="7" xfId="0" applyFont="1" applyFill="1" applyBorder="1" applyAlignment="1">
      <alignment horizontal="right" vertical="center"/>
    </xf>
    <xf numFmtId="0" fontId="47" fillId="13" borderId="7" xfId="0" applyFont="1" applyFill="1" applyBorder="1" applyAlignment="1">
      <alignment horizontal="right" vertical="center"/>
    </xf>
    <xf numFmtId="0" fontId="48" fillId="13" borderId="7" xfId="0" applyFont="1" applyFill="1" applyBorder="1" applyAlignment="1">
      <alignment horizontal="right" vertical="center"/>
    </xf>
    <xf numFmtId="0" fontId="32" fillId="13" borderId="7" xfId="0" applyFont="1" applyFill="1" applyBorder="1" applyAlignment="1">
      <alignment horizontal="right" vertical="center"/>
    </xf>
    <xf numFmtId="0" fontId="45" fillId="30" borderId="1" xfId="0" applyFont="1" applyFill="1" applyBorder="1" applyAlignment="1">
      <alignment horizontal="right" vertical="center"/>
    </xf>
    <xf numFmtId="0" fontId="52" fillId="16" borderId="0" xfId="0" applyFont="1" applyFill="1" applyBorder="1" applyAlignment="1">
      <alignment horizontal="left" vertical="center"/>
    </xf>
    <xf numFmtId="0" fontId="49" fillId="16" borderId="0" xfId="0" applyFont="1" applyFill="1" applyBorder="1" applyAlignment="1">
      <alignment horizontal="left" vertical="center"/>
    </xf>
    <xf numFmtId="0" fontId="50" fillId="16" borderId="0" xfId="0" applyFont="1" applyFill="1" applyBorder="1" applyAlignment="1">
      <alignment horizontal="left" vertical="center"/>
    </xf>
    <xf numFmtId="0" fontId="52" fillId="19" borderId="0" xfId="0" applyFont="1" applyFill="1" applyBorder="1" applyAlignment="1">
      <alignment horizontal="left" vertical="center"/>
    </xf>
    <xf numFmtId="0" fontId="53" fillId="19" borderId="0" xfId="0" applyFont="1" applyFill="1" applyBorder="1" applyAlignment="1">
      <alignment horizontal="left" vertical="center"/>
    </xf>
    <xf numFmtId="0" fontId="52" fillId="17" borderId="0" xfId="0" applyFont="1" applyFill="1" applyBorder="1" applyAlignment="1">
      <alignment horizontal="left" vertical="center"/>
    </xf>
    <xf numFmtId="0" fontId="49" fillId="17" borderId="0" xfId="0" applyFont="1" applyFill="1" applyBorder="1" applyAlignment="1">
      <alignment horizontal="left" vertical="center"/>
    </xf>
    <xf numFmtId="0" fontId="50" fillId="17" borderId="0" xfId="0" applyFont="1" applyFill="1" applyBorder="1" applyAlignment="1">
      <alignment horizontal="left" vertical="center"/>
    </xf>
    <xf numFmtId="0" fontId="53" fillId="17" borderId="0" xfId="0" applyFont="1" applyFill="1" applyBorder="1" applyAlignment="1">
      <alignment horizontal="left" vertical="center"/>
    </xf>
    <xf numFmtId="0" fontId="52" fillId="13" borderId="0" xfId="0" applyFont="1" applyFill="1" applyBorder="1" applyAlignment="1">
      <alignment horizontal="left" vertical="center"/>
    </xf>
    <xf numFmtId="0" fontId="49" fillId="13" borderId="0" xfId="0" applyFont="1" applyFill="1" applyBorder="1" applyAlignment="1">
      <alignment horizontal="left" vertical="center"/>
    </xf>
    <xf numFmtId="0" fontId="50" fillId="13" borderId="0" xfId="0" applyFont="1" applyFill="1" applyBorder="1" applyAlignment="1">
      <alignment horizontal="left" vertical="center"/>
    </xf>
    <xf numFmtId="0" fontId="53" fillId="13" borderId="0" xfId="0" applyFont="1" applyFill="1" applyBorder="1" applyAlignment="1">
      <alignment horizontal="left" vertical="center"/>
    </xf>
    <xf numFmtId="0" fontId="45" fillId="0" borderId="0" xfId="0" quotePrefix="1" applyFont="1" applyAlignment="1">
      <alignment vertical="center"/>
    </xf>
    <xf numFmtId="0" fontId="45" fillId="0" borderId="0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0" fontId="14" fillId="0" borderId="0" xfId="0" applyFont="1" applyBorder="1" applyAlignment="1">
      <alignment horizontal="right" vertical="top" shrinkToFit="1"/>
    </xf>
    <xf numFmtId="0" fontId="45" fillId="0" borderId="1" xfId="0" applyFont="1" applyFill="1" applyBorder="1" applyAlignment="1">
      <alignment horizontal="right" vertical="center"/>
    </xf>
    <xf numFmtId="0" fontId="31" fillId="0" borderId="7" xfId="0" applyFont="1" applyFill="1" applyBorder="1" applyAlignment="1">
      <alignment horizontal="right" vertical="center"/>
    </xf>
    <xf numFmtId="0" fontId="45" fillId="0" borderId="1" xfId="0" applyFont="1" applyBorder="1" applyAlignment="1">
      <alignment horizontal="right" vertical="center"/>
    </xf>
    <xf numFmtId="0" fontId="31" fillId="0" borderId="1" xfId="0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6" fillId="16" borderId="0" xfId="0" quotePrefix="1" applyFont="1" applyFill="1" applyBorder="1" applyAlignment="1">
      <alignment horizontal="left" vertical="center"/>
    </xf>
    <xf numFmtId="0" fontId="47" fillId="16" borderId="0" xfId="0" quotePrefix="1" applyFont="1" applyFill="1" applyBorder="1" applyAlignment="1">
      <alignment horizontal="left" vertical="center"/>
    </xf>
    <xf numFmtId="0" fontId="48" fillId="16" borderId="0" xfId="0" quotePrefix="1" applyFont="1" applyFill="1" applyBorder="1" applyAlignment="1">
      <alignment horizontal="left" vertical="center"/>
    </xf>
    <xf numFmtId="0" fontId="32" fillId="16" borderId="0" xfId="0" quotePrefix="1" applyFont="1" applyFill="1" applyBorder="1" applyAlignment="1">
      <alignment horizontal="left" vertical="center"/>
    </xf>
    <xf numFmtId="0" fontId="53" fillId="16" borderId="0" xfId="0" quotePrefix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54" fillId="0" borderId="0" xfId="0" applyFont="1"/>
  </cellXfs>
  <cellStyles count="1">
    <cellStyle name="一般" xfId="0" builtinId="0"/>
  </cellStyles>
  <dxfs count="244">
    <dxf>
      <font>
        <color theme="1"/>
      </font>
    </dxf>
    <dxf>
      <font>
        <color theme="1"/>
      </font>
    </dxf>
    <dxf>
      <font>
        <color theme="1"/>
      </font>
      <fill>
        <patternFill patternType="solid">
          <bgColor theme="0" tint="-4.9989318521683403E-2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Consolas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nsolas"/>
        <scheme val="none"/>
      </font>
      <alignment horizontal="left" vertical="center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/>
      </font>
    </dxf>
    <dxf>
      <font>
        <name val="Consolas"/>
        <scheme val="none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1"/>
      </font>
    </dxf>
    <dxf>
      <alignment horizontal="centerContinuous" readingOrder="1"/>
    </dxf>
    <dxf>
      <alignment horizontal="left"/>
    </dxf>
    <dxf>
      <alignment horizontal="center"/>
    </dxf>
    <dxf>
      <alignment horizontal="left"/>
    </dxf>
    <dxf>
      <font>
        <sz val="10"/>
      </font>
    </dxf>
    <dxf>
      <font>
        <sz val="11"/>
      </font>
    </dxf>
    <dxf>
      <alignment vertical="center"/>
    </dxf>
    <dxf>
      <alignment vertical="top"/>
    </dxf>
    <dxf>
      <alignment vertical="center"/>
    </dxf>
    <dxf>
      <alignment horizontal="center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ill>
        <patternFill patternType="solid">
          <bgColor theme="7"/>
        </patternFill>
      </fill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color rgb="FFFFC000"/>
        <name val="Adobe 繁黑體 Std B"/>
        <scheme val="none"/>
      </font>
      <alignment horizontal="left"/>
    </dxf>
    <dxf>
      <numFmt numFmtId="177" formatCode="&quot;毀壞&quot;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0"/>
      </font>
    </dxf>
    <dxf>
      <fill>
        <patternFill patternType="solid">
          <bgColor theme="7" tint="-0.49998474074526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ont>
        <color theme="0"/>
      </font>
    </dxf>
    <dxf>
      <alignment wrapText="0"/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FFC000"/>
      </font>
      <fill>
        <patternFill>
          <fgColor theme="7" tint="-0.499984740745262"/>
        </patternFill>
      </fill>
      <alignment horizontal="left"/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alignment wrapText="0" shrinkToFit="1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sz val="8"/>
      </font>
    </dxf>
    <dxf>
      <font>
        <sz val="6"/>
      </font>
    </dxf>
    <dxf>
      <font>
        <sz val="8"/>
      </font>
    </dxf>
    <dxf>
      <font>
        <sz val="9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76" formatCode="&quot;可接觸&quot;"/>
    </dxf>
    <dxf>
      <numFmt numFmtId="181" formatCode="&quot;觸&quot;"/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fill>
        <patternFill>
          <bgColor theme="0"/>
        </patternFill>
      </fill>
      <border>
        <top/>
      </border>
    </dxf>
    <dxf>
      <fill>
        <patternFill>
          <bgColor rgb="FFEEEBF3"/>
        </patternFill>
      </fill>
      <border>
        <bottom/>
      </border>
    </dxf>
    <dxf>
      <font>
        <b val="0"/>
        <i val="0"/>
        <color theme="0"/>
      </font>
      <fill>
        <patternFill>
          <bgColor theme="7"/>
        </patternFill>
      </fill>
    </dxf>
    <dxf>
      <font>
        <b val="0"/>
        <i val="0"/>
        <color theme="0"/>
      </font>
      <fill>
        <patternFill>
          <bgColor theme="7"/>
        </patternFill>
      </fill>
    </dxf>
    <dxf>
      <font>
        <b/>
        <i val="0"/>
      </font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7" tint="0.59999389629810485"/>
        </bottom>
      </border>
    </dxf>
    <dxf>
      <font>
        <color theme="1"/>
      </font>
      <fill>
        <patternFill patternType="solid">
          <fgColor theme="7" tint="0.59999389629810485"/>
          <bgColor theme="7" tint="0.59999389629810485"/>
        </patternFill>
      </fill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</border>
    </dxf>
    <dxf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</border>
    </dxf>
    <dxf>
      <fill>
        <patternFill patternType="solid">
          <fgColor theme="7" tint="0.79998168889431442"/>
          <bgColor theme="7" tint="0.79998168889431442"/>
        </patternFill>
      </fill>
      <border>
        <top style="thin">
          <color theme="7" tint="0.59999389629810485"/>
        </top>
        <bottom style="thin">
          <color theme="7" tint="0.59999389629810485"/>
        </bottom>
      </border>
    </dxf>
    <dxf>
      <fill>
        <patternFill>
          <bgColor theme="7" tint="-0.49998474074526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7" tint="-0.499984740745262"/>
        </patternFill>
      </fill>
      <border>
        <left/>
        <right/>
        <vertical/>
      </border>
    </dxf>
    <dxf>
      <font>
        <color theme="1"/>
      </font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  <vertical style="thin">
          <color theme="7" tint="0.59999389629810485"/>
        </vertical>
      </border>
    </dxf>
  </dxfs>
  <tableStyles count="2" defaultTableStyle="TableStyleMedium2" defaultPivotStyle="PivotStyleMedium9">
    <tableStyle name="PivotStyleMedium19 2" table="0" count="14">
      <tableStyleElement type="wholeTable" dxfId="243"/>
      <tableStyleElement type="headerRow" dxfId="242"/>
      <tableStyleElement type="totalRow" dxfId="241"/>
      <tableStyleElement type="firstColumn" dxfId="240"/>
      <tableStyleElement type="firstRowStripe" dxfId="239"/>
      <tableStyleElement type="firstColumnStripe" dxfId="238"/>
      <tableStyleElement type="firstSubtotalColumn" dxfId="237"/>
      <tableStyleElement type="firstSubtotalRow" dxfId="236"/>
      <tableStyleElement type="secondSubtotalRow" dxfId="235"/>
      <tableStyleElement type="firstRowSubheading" dxfId="234"/>
      <tableStyleElement type="secondRowSubheading" dxfId="233"/>
      <tableStyleElement type="thirdRowSubheading" dxfId="232"/>
      <tableStyleElement type="pageFieldLabels" dxfId="231"/>
      <tableStyleElement type="pageFieldValues" dxfId="230"/>
    </tableStyle>
    <tableStyle name="樞紐分析表樣式 1" table="0" count="5">
      <tableStyleElement type="wholeTable" dxfId="229"/>
      <tableStyleElement type="headerRow" dxfId="228"/>
      <tableStyleElement type="firstColumn" dxfId="227"/>
      <tableStyleElement type="firstRowStripe" dxfId="226"/>
      <tableStyleElement type="secondRowStripe" dxfId="225"/>
    </tableStyle>
  </tableStyles>
  <colors>
    <mruColors>
      <color rgb="FFEEEBF3"/>
      <color rgb="FFF1EFF5"/>
      <color rgb="FF70569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3133.428562499997" createdVersion="6" refreshedVersion="6" minRefreshableVersion="3" recordCount="20">
  <cacheSource type="worksheet">
    <worksheetSource name="群組_接觸表"/>
  </cacheSource>
  <cacheFields count="2">
    <cacheField name="本體" numFmtId="0">
      <sharedItems count="8">
        <s v="玩家"/>
        <s v="玩家武器"/>
        <s v="教團"/>
        <s v="教團武器"/>
        <s v="原生"/>
        <s v="原生武器"/>
        <s v="地上物"/>
        <s v="場景" u="1"/>
      </sharedItems>
    </cacheField>
    <cacheField name="對象" numFmtId="0">
      <sharedItems containsBlank="1" count="9">
        <s v="教團武器"/>
        <s v="原生武器"/>
        <s v="地上物"/>
        <s v="場景"/>
        <s v="教團"/>
        <s v="原生"/>
        <s v="玩家武器"/>
        <s v="玩家"/>
        <m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52.492043402781" createdVersion="6" refreshedVersion="4" minRefreshableVersion="3" recordCount="44">
  <cacheSource type="worksheet">
    <worksheetSource name="硬度_毀壞表"/>
  </cacheSource>
  <cacheFields count="2">
    <cacheField name="本體" numFmtId="0">
      <sharedItems containsBlank="1" count="13">
        <s v="劣瓷"/>
        <s v="瓷"/>
        <s v="劣木"/>
        <s v="木"/>
        <s v="劣石"/>
        <s v="石"/>
        <s v="劣鐵"/>
        <s v="鐵"/>
        <m u="1"/>
        <s v="鑽石" u="1"/>
        <s v="非固體" u="1"/>
        <s v="劣肉" u="1"/>
        <s v="肉" u="1"/>
      </sharedItems>
    </cacheField>
    <cacheField name="對象" numFmtId="0">
      <sharedItems containsBlank="1" count="13">
        <s v="劣瓷"/>
        <s v="瓷"/>
        <s v="劣肉"/>
        <s v="肉"/>
        <s v="劣木"/>
        <s v="木"/>
        <s v="劣石"/>
        <s v="石"/>
        <s v="劣鐵"/>
        <s v="鐵"/>
        <s v="鑽石"/>
        <m u="1"/>
        <s v="非固體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作者" refreshedDate="43154.456236342594" missingItemsLimit="0" createdVersion="6" refreshedVersion="4" minRefreshableVersion="3" recordCount="19">
  <cacheSource type="worksheet">
    <worksheetSource name="交互反應表"/>
  </cacheSource>
  <cacheFields count="4">
    <cacheField name="賦予" numFmtId="0">
      <sharedItems count="11">
        <s v="00_打擊"/>
        <s v="01_燃燒"/>
        <s v="02_爆破"/>
        <s v="03_放電"/>
        <s v="04_帶電"/>
        <s v="05_緩慢"/>
        <s v="06_冰凍"/>
        <s v="07_中毒"/>
        <s v="08_麻痺"/>
        <s v="09_暈眩"/>
        <s v="10_失明"/>
      </sharedItems>
    </cacheField>
    <cacheField name="對象狀態" numFmtId="0">
      <sharedItems count="11">
        <s v="00_打擊"/>
        <s v="01_燃燒"/>
        <s v="05_緩慢"/>
        <s v="06_冰凍"/>
        <s v="02_爆破"/>
        <s v="09_暈眩"/>
        <s v="03_放電"/>
        <s v="08_麻痺"/>
        <s v="04_帶電"/>
        <s v="07_中毒"/>
        <s v="10_失明"/>
      </sharedItems>
    </cacheField>
    <cacheField name="權限" numFmtId="0">
      <sharedItems containsString="0" containsBlank="1" containsNumber="1" containsInteger="1" minValue="0" maxValue="0"/>
    </cacheField>
    <cacheField name="有無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</r>
  <r>
    <x v="0"/>
    <x v="1"/>
  </r>
  <r>
    <x v="0"/>
    <x v="2"/>
  </r>
  <r>
    <x v="0"/>
    <x v="3"/>
  </r>
  <r>
    <x v="1"/>
    <x v="4"/>
  </r>
  <r>
    <x v="1"/>
    <x v="5"/>
  </r>
  <r>
    <x v="1"/>
    <x v="2"/>
  </r>
  <r>
    <x v="1"/>
    <x v="3"/>
  </r>
  <r>
    <x v="2"/>
    <x v="6"/>
  </r>
  <r>
    <x v="2"/>
    <x v="2"/>
  </r>
  <r>
    <x v="2"/>
    <x v="3"/>
  </r>
  <r>
    <x v="3"/>
    <x v="7"/>
  </r>
  <r>
    <x v="4"/>
    <x v="6"/>
  </r>
  <r>
    <x v="4"/>
    <x v="2"/>
  </r>
  <r>
    <x v="4"/>
    <x v="3"/>
  </r>
  <r>
    <x v="5"/>
    <x v="7"/>
  </r>
  <r>
    <x v="6"/>
    <x v="7"/>
  </r>
  <r>
    <x v="6"/>
    <x v="4"/>
  </r>
  <r>
    <x v="6"/>
    <x v="5"/>
  </r>
  <r>
    <x v="6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4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1"/>
    <x v="9"/>
  </r>
  <r>
    <x v="1"/>
    <x v="10"/>
  </r>
  <r>
    <x v="2"/>
    <x v="4"/>
  </r>
  <r>
    <x v="2"/>
    <x v="5"/>
  </r>
  <r>
    <x v="2"/>
    <x v="6"/>
  </r>
  <r>
    <x v="2"/>
    <x v="7"/>
  </r>
  <r>
    <x v="2"/>
    <x v="8"/>
  </r>
  <r>
    <x v="2"/>
    <x v="9"/>
  </r>
  <r>
    <x v="2"/>
    <x v="10"/>
  </r>
  <r>
    <x v="3"/>
    <x v="6"/>
  </r>
  <r>
    <x v="3"/>
    <x v="7"/>
  </r>
  <r>
    <x v="3"/>
    <x v="8"/>
  </r>
  <r>
    <x v="3"/>
    <x v="9"/>
  </r>
  <r>
    <x v="3"/>
    <x v="10"/>
  </r>
  <r>
    <x v="4"/>
    <x v="6"/>
  </r>
  <r>
    <x v="4"/>
    <x v="7"/>
  </r>
  <r>
    <x v="4"/>
    <x v="8"/>
  </r>
  <r>
    <x v="4"/>
    <x v="9"/>
  </r>
  <r>
    <x v="4"/>
    <x v="10"/>
  </r>
  <r>
    <x v="5"/>
    <x v="8"/>
  </r>
  <r>
    <x v="5"/>
    <x v="9"/>
  </r>
  <r>
    <x v="5"/>
    <x v="10"/>
  </r>
  <r>
    <x v="6"/>
    <x v="8"/>
  </r>
  <r>
    <x v="6"/>
    <x v="9"/>
  </r>
  <r>
    <x v="6"/>
    <x v="10"/>
  </r>
  <r>
    <x v="7"/>
    <x v="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">
  <r>
    <x v="0"/>
    <x v="0"/>
    <m/>
    <n v="1"/>
  </r>
  <r>
    <x v="1"/>
    <x v="1"/>
    <m/>
    <n v="1"/>
  </r>
  <r>
    <x v="1"/>
    <x v="2"/>
    <n v="0"/>
    <m/>
  </r>
  <r>
    <x v="1"/>
    <x v="3"/>
    <n v="0"/>
    <m/>
  </r>
  <r>
    <x v="2"/>
    <x v="4"/>
    <m/>
    <n v="1"/>
  </r>
  <r>
    <x v="2"/>
    <x v="2"/>
    <n v="0"/>
    <m/>
  </r>
  <r>
    <x v="2"/>
    <x v="3"/>
    <n v="0"/>
    <m/>
  </r>
  <r>
    <x v="2"/>
    <x v="5"/>
    <n v="0"/>
    <m/>
  </r>
  <r>
    <x v="3"/>
    <x v="6"/>
    <m/>
    <n v="1"/>
  </r>
  <r>
    <x v="3"/>
    <x v="7"/>
    <n v="0"/>
    <m/>
  </r>
  <r>
    <x v="4"/>
    <x v="8"/>
    <m/>
    <n v="1"/>
  </r>
  <r>
    <x v="5"/>
    <x v="2"/>
    <m/>
    <n v="1"/>
  </r>
  <r>
    <x v="5"/>
    <x v="5"/>
    <n v="0"/>
    <m/>
  </r>
  <r>
    <x v="6"/>
    <x v="3"/>
    <m/>
    <n v="1"/>
  </r>
  <r>
    <x v="6"/>
    <x v="5"/>
    <n v="0"/>
    <m/>
  </r>
  <r>
    <x v="7"/>
    <x v="9"/>
    <m/>
    <n v="1"/>
  </r>
  <r>
    <x v="8"/>
    <x v="7"/>
    <m/>
    <n v="1"/>
  </r>
  <r>
    <x v="9"/>
    <x v="5"/>
    <m/>
    <n v="1"/>
  </r>
  <r>
    <x v="10"/>
    <x v="10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showDrill="0" useAutoFormatting="1" rowGrandTotals="0" colGrandTotals="0" itemPrintTitles="1" createdVersion="6" indent="0" compact="0" compactData="0" multipleFieldFilters="0">
  <location ref="G1:O9" firstHeaderRow="1" firstDataRow="2" firstDataCol="1"/>
  <pivotFields count="2"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showAll="0" defaultSubtotal="0">
      <items count="9">
        <item x="7"/>
        <item x="6"/>
        <item x="4"/>
        <item x="0"/>
        <item x="5"/>
        <item x="1"/>
        <item x="2"/>
        <item x="3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群組接觸設定(展開)" fld="1" subtotal="count" baseField="0" baseItem="0" numFmtId="176"/>
  </dataFields>
  <formats count="94">
    <format dxfId="224">
      <pivotArea outline="0" collapsedLevelsAreSubtotals="1" fieldPosition="0"/>
    </format>
    <format dxfId="223">
      <pivotArea type="all" dataOnly="0" outline="0" fieldPosition="0"/>
    </format>
    <format dxfId="222">
      <pivotArea outline="0" collapsedLevelsAreSubtotals="1" fieldPosition="0"/>
    </format>
    <format dxfId="221">
      <pivotArea type="origin" dataOnly="0" labelOnly="1" outline="0" fieldPosition="0"/>
    </format>
    <format dxfId="220">
      <pivotArea type="topRight" dataOnly="0" labelOnly="1" outline="0" fieldPosition="0"/>
    </format>
    <format dxfId="219">
      <pivotArea dataOnly="0" labelOnly="1" outline="0" fieldPosition="0">
        <references count="1">
          <reference field="0" count="0"/>
        </references>
      </pivotArea>
    </format>
    <format dxfId="218">
      <pivotArea dataOnly="0" labelOnly="1" outline="0" fieldPosition="0">
        <references count="1">
          <reference field="1" count="0"/>
        </references>
      </pivotArea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type="topRight" dataOnly="0" labelOnly="1" outline="0" fieldPosition="0"/>
    </format>
    <format dxfId="213">
      <pivotArea dataOnly="0" labelOnly="1" outline="0" fieldPosition="0">
        <references count="1">
          <reference field="0" count="0"/>
        </references>
      </pivotArea>
    </format>
    <format dxfId="212">
      <pivotArea dataOnly="0" labelOnly="1" outline="0" fieldPosition="0">
        <references count="1">
          <reference field="1" count="0"/>
        </references>
      </pivotArea>
    </format>
    <format dxfId="211">
      <pivotArea outline="0" collapsedLevelsAreSubtotals="1" fieldPosition="0"/>
    </format>
    <format dxfId="210">
      <pivotArea type="topRight" dataOnly="0" labelOnly="1" outline="0" fieldPosition="0"/>
    </format>
    <format dxfId="209">
      <pivotArea dataOnly="0" labelOnly="1" outline="0" fieldPosition="0">
        <references count="1">
          <reference field="1" count="0"/>
        </references>
      </pivotArea>
    </format>
    <format dxfId="208">
      <pivotArea type="origin" dataOnly="0" labelOnly="1" outline="0" fieldPosition="0"/>
    </format>
    <format dxfId="207">
      <pivotArea type="topRight" dataOnly="0" labelOnly="1" outline="0" fieldPosition="0"/>
    </format>
    <format dxfId="206">
      <pivotArea dataOnly="0" labelOnly="1" outline="0" fieldPosition="0">
        <references count="1">
          <reference field="1" count="0"/>
        </references>
      </pivotArea>
    </format>
    <format dxfId="205">
      <pivotArea dataOnly="0" labelOnly="1" outline="0" fieldPosition="0">
        <references count="1">
          <reference field="0" count="0"/>
        </references>
      </pivotArea>
    </format>
    <format dxfId="204">
      <pivotArea outline="0" fieldPosition="0">
        <references count="1">
          <reference field="4294967294" count="1">
            <x v="0"/>
          </reference>
        </references>
      </pivotArea>
    </format>
    <format dxfId="203">
      <pivotArea outline="0" collapsedLevelsAreSubtotals="1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type="origin" dataOnly="0" labelOnly="1" outline="0" fieldPosition="0"/>
    </format>
    <format dxfId="199">
      <pivotArea type="topRight" dataOnly="0" labelOnly="1" outline="0" fieldPosition="0"/>
    </format>
    <format dxfId="198">
      <pivotArea dataOnly="0" labelOnly="1" outline="0" fieldPosition="0">
        <references count="1">
          <reference field="0" count="0"/>
        </references>
      </pivotArea>
    </format>
    <format dxfId="197">
      <pivotArea dataOnly="0" labelOnly="1" outline="0" fieldPosition="0">
        <references count="1">
          <reference field="1" count="0"/>
        </references>
      </pivotArea>
    </format>
    <format dxfId="196">
      <pivotArea outline="0" collapsedLevelsAreSubtotals="1" fieldPosition="0"/>
    </format>
    <format dxfId="195">
      <pivotArea outline="0" collapsedLevelsAreSubtotals="1" fieldPosition="0"/>
    </format>
    <format dxfId="194">
      <pivotArea outline="0" collapsedLevelsAreSubtotals="1" fieldPosition="0"/>
    </format>
    <format dxfId="193">
      <pivotArea outline="0" collapsedLevelsAreSubtotals="1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0" count="0"/>
        </references>
      </pivotArea>
    </format>
    <format dxfId="187">
      <pivotArea dataOnly="0" labelOnly="1" outline="0" fieldPosition="0">
        <references count="1">
          <reference field="1" count="0"/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type="origin" dataOnly="0" labelOnly="1" outline="0" fieldPosition="0"/>
    </format>
    <format dxfId="183">
      <pivotArea type="topRight" dataOnly="0" labelOnly="1" outline="0" fieldPosition="0"/>
    </format>
    <format dxfId="182">
      <pivotArea dataOnly="0" labelOnly="1" outline="0" fieldPosition="0">
        <references count="1">
          <reference field="0" count="0"/>
        </references>
      </pivotArea>
    </format>
    <format dxfId="181">
      <pivotArea dataOnly="0" labelOnly="1" outline="0" fieldPosition="0">
        <references count="1">
          <reference field="1" count="0"/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type="origin" dataOnly="0" labelOnly="1" outline="0" fieldPosition="0"/>
    </format>
    <format dxfId="177">
      <pivotArea type="topRight" dataOnly="0" labelOnly="1" outline="0" fieldPosition="0"/>
    </format>
    <format dxfId="176">
      <pivotArea dataOnly="0" labelOnly="1" outline="0" fieldPosition="0">
        <references count="1">
          <reference field="0" count="0"/>
        </references>
      </pivotArea>
    </format>
    <format dxfId="175">
      <pivotArea dataOnly="0" labelOnly="1" outline="0" fieldPosition="0">
        <references count="1">
          <reference field="1" count="0"/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type="topRight" dataOnly="0" labelOnly="1" outline="0" fieldPosition="0"/>
    </format>
    <format dxfId="170">
      <pivotArea dataOnly="0" labelOnly="1" outline="0" fieldPosition="0">
        <references count="1">
          <reference field="0" count="0"/>
        </references>
      </pivotArea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type="all" dataOnly="0" outline="0" fieldPosition="0"/>
    </format>
    <format dxfId="167">
      <pivotArea outline="0" collapsedLevelsAreSubtotals="1" fieldPosition="0"/>
    </format>
    <format dxfId="166">
      <pivotArea type="origin" dataOnly="0" labelOnly="1" outline="0" fieldPosition="0"/>
    </format>
    <format dxfId="165">
      <pivotArea type="topRight" dataOnly="0" labelOnly="1" outline="0" fieldPosition="0"/>
    </format>
    <format dxfId="164">
      <pivotArea dataOnly="0" labelOnly="1" outline="0" fieldPosition="0">
        <references count="1">
          <reference field="0" count="0"/>
        </references>
      </pivotArea>
    </format>
    <format dxfId="163">
      <pivotArea dataOnly="0" labelOnly="1" outline="0" fieldPosition="0">
        <references count="1">
          <reference field="1" count="0"/>
        </references>
      </pivotArea>
    </format>
    <format dxfId="162">
      <pivotArea dataOnly="0" labelOnly="1" outline="0" fieldPosition="0">
        <references count="1">
          <reference field="1" count="0"/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type="origin" dataOnly="0" labelOnly="1" outline="0" fieldPosition="0"/>
    </format>
    <format dxfId="158">
      <pivotArea type="topRight" dataOnly="0" labelOnly="1" outline="0" fieldPosition="0"/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dataOnly="0" labelOnly="1" outline="0" fieldPosition="0">
        <references count="1">
          <reference field="1" count="0"/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type="topRight" dataOnly="0" labelOnly="1" outline="0" fieldPosition="0"/>
    </format>
    <format dxfId="151">
      <pivotArea dataOnly="0" labelOnly="1" outline="0" fieldPosition="0">
        <references count="1">
          <reference field="0" count="0"/>
        </references>
      </pivotArea>
    </format>
    <format dxfId="150">
      <pivotArea dataOnly="0" labelOnly="1" outline="0" fieldPosition="0">
        <references count="1">
          <reference field="1" count="0"/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type="origin" dataOnly="0" labelOnly="1" outline="0" fieldPosition="0"/>
    </format>
    <format dxfId="146">
      <pivotArea type="topRight" dataOnly="0" labelOnly="1" outline="0" fieldPosition="0"/>
    </format>
    <format dxfId="145">
      <pivotArea dataOnly="0" labelOnly="1" outline="0" fieldPosition="0">
        <references count="1">
          <reference field="0" count="0"/>
        </references>
      </pivotArea>
    </format>
    <format dxfId="144">
      <pivotArea dataOnly="0" labelOnly="1" outline="0" fieldPosition="0">
        <references count="1">
          <reference field="1" count="0"/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type="origin" dataOnly="0" labelOnly="1" outline="0" fieldPosition="0"/>
    </format>
    <format dxfId="140">
      <pivotArea type="topRight" dataOnly="0" labelOnly="1" outline="0" fieldPosition="0"/>
    </format>
    <format dxfId="139">
      <pivotArea dataOnly="0" labelOnly="1" outline="0" fieldPosition="0">
        <references count="1">
          <reference field="0" count="0"/>
        </references>
      </pivotArea>
    </format>
    <format dxfId="138">
      <pivotArea dataOnly="0" labelOnly="1" outline="0" fieldPosition="0">
        <references count="1">
          <reference field="1" count="0"/>
        </references>
      </pivotArea>
    </format>
    <format dxfId="137">
      <pivotArea type="origin" dataOnly="0" labelOnly="1" outline="0" fieldPosition="0"/>
    </format>
    <format dxfId="136">
      <pivotArea type="origin" dataOnly="0" labelOnly="1" outline="0" fieldPosition="0"/>
    </format>
    <format dxfId="135">
      <pivotArea type="topRight" dataOnly="0" labelOnly="1" outline="0" fieldPosition="0"/>
    </format>
    <format dxfId="134">
      <pivotArea type="origin" dataOnly="0" labelOnly="1" outline="0" fieldPosition="0"/>
    </format>
    <format dxfId="133">
      <pivotArea type="topRight" dataOnly="0" labelOnly="1" outline="0" fieldPosition="0"/>
    </format>
    <format dxfId="132">
      <pivotArea type="origin" dataOnly="0" labelOnly="1" outline="0" fieldPosition="0"/>
    </format>
    <format dxfId="131">
      <pivotArea dataOnly="0" labelOnly="1" outline="0" fieldPosition="0">
        <references count="1">
          <reference field="0" count="0"/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1" applyNumberFormats="0" applyBorderFormats="0" applyFontFormats="0" applyPatternFormats="0" applyAlignmentFormats="0" applyWidthHeightFormats="1" dataCaption="數值" updatedVersion="4" minRefreshableVersion="3" useAutoFormatting="1" rowGrandTotals="0" colGrandTotals="0" itemPrintTitles="1" createdVersion="6" indent="0" compact="0" outline="1" outlineData="1" compactData="0" multipleFieldFilters="0">
  <location ref="H1:S10" firstHeaderRow="1" firstDataRow="2" firstDataCol="1"/>
  <pivotFields count="2">
    <pivotField axis="axisRow" compact="0" showAll="0" defaultSubtotal="0">
      <items count="13">
        <item m="1" x="8"/>
        <item x="0"/>
        <item x="1"/>
        <item m="1" x="11"/>
        <item x="2"/>
        <item x="3"/>
        <item x="4"/>
        <item x="5"/>
        <item x="6"/>
        <item x="7"/>
        <item m="1" x="9"/>
        <item m="1" x="1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showAll="0" defaultSubtotal="0">
      <items count="13"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8">
    <i>
      <x v="1"/>
    </i>
    <i>
      <x v="2"/>
    </i>
    <i>
      <x v="4"/>
    </i>
    <i>
      <x v="5"/>
    </i>
    <i>
      <x v="6"/>
    </i>
    <i>
      <x v="7"/>
    </i>
    <i>
      <x v="8"/>
    </i>
    <i>
      <x v="9"/>
    </i>
  </rowItems>
  <colFields count="1">
    <field x="1"/>
  </colFields>
  <col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毀壞展開" fld="1" subtotal="count" baseField="0" baseItem="0" numFmtId="177"/>
  </dataFields>
  <formats count="45">
    <format dxfId="123">
      <pivotArea type="origin" dataOnly="0" labelOnly="1" outline="0" fieldPosition="0"/>
    </format>
    <format dxfId="122">
      <pivotArea field="1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1" count="0"/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type="origin" dataOnly="0" labelOnly="1" outline="0" fieldPosition="0"/>
    </format>
    <format dxfId="115">
      <pivotArea field="1" type="button" dataOnly="0" labelOnly="1" outline="0" axis="axisCol" fieldPosition="0"/>
    </format>
    <format dxfId="114">
      <pivotArea type="topRight" dataOnly="0" labelOnly="1" outline="0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fieldPosition="0">
        <references count="1">
          <reference field="1" count="0"/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type="origin" dataOnly="0" labelOnly="1" outline="0" fieldPosition="0"/>
    </format>
    <format dxfId="107">
      <pivotArea field="1" type="button" dataOnly="0" labelOnly="1" outline="0" axis="axisCol" fieldPosition="0"/>
    </format>
    <format dxfId="106">
      <pivotArea type="topRight" dataOnly="0" labelOnly="1" outline="0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fieldPosition="0">
        <references count="1">
          <reference field="1" count="0"/>
        </references>
      </pivotArea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fieldPosition="0">
        <references count="1">
          <reference field="1" count="0"/>
        </references>
      </pivotArea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field="1" type="button" dataOnly="0" labelOnly="1" outline="0" axis="axisCol" fieldPosition="0"/>
    </format>
    <format dxfId="92">
      <pivotArea type="topRight" dataOnly="0" labelOnly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fieldPosition="0">
        <references count="1">
          <reference field="1" count="0"/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field="1" type="button" dataOnly="0" labelOnly="1" outline="0" axis="axisCol" fieldPosition="0"/>
    </format>
    <format dxfId="84">
      <pivotArea type="topRight" dataOnly="0" labelOnly="1" outline="0" fieldPosition="0"/>
    </format>
    <format dxfId="83">
      <pivotArea field="0" type="button" dataOnly="0" labelOnly="1" outline="0" axis="axisRow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dataOnly="0" labelOnly="1" fieldPosition="0">
        <references count="1">
          <reference field="1" count="0"/>
        </references>
      </pivotArea>
    </format>
    <format dxfId="80">
      <pivotArea outline="0" collapsedLevelsAreSubtotals="1" fieldPosition="0"/>
    </format>
    <format dxfId="79">
      <pivotArea outline="0" fieldPosition="0">
        <references count="1">
          <reference field="1" count="1" selected="0">
            <x v="12"/>
          </reference>
        </references>
      </pivotArea>
    </format>
  </formats>
  <pivotTableStyleInfo name="PivotStyleMedium1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樞紐分析表10" cacheId="6" dataOnRows="1" applyNumberFormats="0" applyBorderFormats="0" applyFontFormats="0" applyPatternFormats="0" applyAlignmentFormats="0" applyWidthHeightFormats="1" dataCaption="數值" showError="1" showMissing="0" updatedVersion="4" minRefreshableVersion="3" pageOverThenDown="1" rowGrandTotals="0" colGrandTotals="0" mergeItem="1" createdVersion="6" indent="127" compact="0" compactData="0" multipleFieldFilters="0">
  <location ref="I2:U25" firstHeaderRow="1" firstDataRow="2" firstDataCol="2"/>
  <pivotFields count="4"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狀態" axis="axisCol" compact="0" outline="0" subtotalTop="0" showAll="0" insertPageBreak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權限2" dataField="1" compact="0" outline="0" subtotalTop="0" showAll="0" defaultSubtotal="0"/>
    <pivotField name="有無2" dataField="1" compact="0" outline="0" subtotalTop="0" showAll="0" defaultSubtotal="0"/>
  </pivotFields>
  <rowFields count="2">
    <field x="0"/>
    <field x="-2"/>
  </rowFields>
  <rowItems count="2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2">
    <dataField name="有無" fld="3" subtotal="average" baseField="0" baseItem="2"/>
    <dataField name="權限" fld="2" subtotal="average" baseField="0" baseItem="1"/>
  </dataFields>
  <formats count="23">
    <format dxfId="70">
      <pivotArea type="all" dataOnly="0" outline="0" fieldPosition="0"/>
    </format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type="origin" dataOnly="0" labelOnly="1" outline="0" fieldPosition="0"/>
    </format>
    <format dxfId="63">
      <pivotArea type="origin" dataOnly="0" labelOnly="1" outline="0" fieldPosition="0"/>
    </format>
    <format dxfId="62">
      <pivotArea type="origin" dataOnly="0" labelOnly="1" outline="0" fieldPosition="0"/>
    </format>
    <format dxfId="61">
      <pivotArea type="origin" dataOnly="0" labelOnly="1" outline="0" fieldPosition="0"/>
    </format>
    <format dxfId="60">
      <pivotArea type="origin" dataOnly="0" labelOnly="1" outline="0" fieldPosition="0"/>
    </format>
    <format dxfId="59">
      <pivotArea type="origin" dataOnly="0" labelOnly="1" outline="0" fieldPosition="0"/>
    </format>
    <format dxfId="58">
      <pivotArea type="origin" dataOnly="0" labelOnly="1" outline="0" fieldPosition="0"/>
    </format>
    <format dxfId="57">
      <pivotArea type="origin" dataOnly="0" labelOnly="1" outline="0" fieldPosition="0"/>
    </format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outline="0" collapsedLevelsAreSubtotals="1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-2" type="button" dataOnly="0" labelOnly="1" outline="0" axis="axisRow" fieldPosition="1"/>
    </format>
    <format dxfId="48">
      <pivotArea field="1" type="button" dataOnly="0" labelOnly="1" outline="0" axis="axisCol" fieldPosition="0"/>
    </format>
  </formats>
  <pivotTableStyleInfo name="樞紐分析表樣式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1" name="群組定義" displayName="群組定義" ref="B2:B10" totalsRowShown="0" headerRowDxfId="130" dataDxfId="129">
  <autoFilter ref="B2:B10"/>
  <tableColumns count="1">
    <tableColumn id="1" name="群組" dataDxfId="12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2" name="群組_接觸表" displayName="群組_接觸表" ref="D2:E22" totalsRowShown="0" headerRowDxfId="127" dataDxfId="126">
  <autoFilter ref="D2:E22"/>
  <tableColumns count="2">
    <tableColumn id="1" name="本體" dataDxfId="125"/>
    <tableColumn id="2" name="對象" dataDxfId="1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硬度定義" displayName="硬度定義" ref="B2:C14" totalsRowShown="0" headerRowDxfId="78" dataDxfId="77">
  <autoFilter ref="B2:C14"/>
  <tableColumns count="2">
    <tableColumn id="1" name="硬度" dataDxfId="76"/>
    <tableColumn id="2" name="ID" dataDxfId="7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9" name="硬度_毀壞表" displayName="硬度_毀壞表" ref="E2:F46" totalsRowShown="0" headerRowDxfId="74" dataDxfId="73">
  <autoFilter ref="E2:F46"/>
  <tableColumns count="2">
    <tableColumn id="1" name="本體" dataDxfId="72"/>
    <tableColumn id="2" name="對象" dataDxfId="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狀態定義" displayName="狀態定義" ref="B2:B13" totalsRowShown="0" headerRowDxfId="47" dataDxfId="46">
  <autoFilter ref="B2:B13"/>
  <tableColumns count="1">
    <tableColumn id="1" name="狀態" dataDxfId="4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18" name="交互反應表" displayName="交互反應表" ref="D2:G21" totalsRowShown="0" headerRowDxfId="44" dataDxfId="43">
  <autoFilter ref="D2:G21"/>
  <sortState ref="D3:G21">
    <sortCondition ref="D2:D21"/>
  </sortState>
  <tableColumns count="4">
    <tableColumn id="1" name="賦予" dataDxfId="42"/>
    <tableColumn id="2" name="對象狀態" dataDxfId="41"/>
    <tableColumn id="4" name="權限" dataDxfId="40"/>
    <tableColumn id="3" name="有無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表格3" displayName="表格3" ref="B2:AC23" totalsRowShown="0" headerRowDxfId="38">
  <autoFilter ref="B2:AC23"/>
  <tableColumns count="28">
    <tableColumn id="1" name="原子"/>
    <tableColumn id="24" name="硬度"/>
    <tableColumn id="25" name="Give" dataDxfId="37">
      <calculatedColumnFormula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calculatedColumnFormula>
    </tableColumn>
    <tableColumn id="30" name="GiveMask" dataDxfId="36">
      <calculatedColumnFormula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calculatedColumnFormula>
    </tableColumn>
    <tableColumn id="11" name="燃燒Give"/>
    <tableColumn id="10" name="爆破Give"/>
    <tableColumn id="9" name="放電Give"/>
    <tableColumn id="8" name="帶電Give"/>
    <tableColumn id="7" name="緩慢Give"/>
    <tableColumn id="6" name="冰凍Give"/>
    <tableColumn id="5" name="中毒Give"/>
    <tableColumn id="4" name="麻痺Give"/>
    <tableColumn id="3" name="暈眩Give"/>
    <tableColumn id="2" name="失明Give"/>
    <tableColumn id="31" name="打擊Give" dataDxfId="35"/>
    <tableColumn id="27" name="Take" dataDxfId="34">
      <calculatedColumnFormula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calculatedColumnFormula>
    </tableColumn>
    <tableColumn id="28" name="TakeMask" dataDxfId="33">
      <calculatedColumnFormula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calculatedColumnFormula>
    </tableColumn>
    <tableColumn id="21" name="燃燒Take"/>
    <tableColumn id="20" name="爆破Take"/>
    <tableColumn id="19" name="放電Take"/>
    <tableColumn id="18" name="帶電Take"/>
    <tableColumn id="17" name="緩慢Take"/>
    <tableColumn id="16" name="冰凍Take"/>
    <tableColumn id="15" name="中毒Take"/>
    <tableColumn id="14" name="麻痺Take"/>
    <tableColumn id="13" name="暈眩Take"/>
    <tableColumn id="12" name="失明Take"/>
    <tableColumn id="32" name="打擊Take" dataDxf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表格4_7112" displayName="表格4_7112" ref="B1:I33" totalsRowShown="0" headerRowDxfId="31" dataDxfId="30">
  <autoFilter ref="B1:I33"/>
  <tableColumns count="8">
    <tableColumn id="2" name="DEC" dataDxfId="29">
      <calculatedColumnFormula>ROW()-2</calculatedColumnFormula>
    </tableColumn>
    <tableColumn id="1" name="屬性" dataDxfId="28">
      <calculatedColumnFormula>DEC2BIN(INT(表格4_7112[[#This Row],[DEC]]/(2^($J$1-COLUMN()))),3)</calculatedColumnFormula>
    </tableColumn>
    <tableColumn id="5" name="瞬間1持續0" dataDxfId="27">
      <calculatedColumnFormula>IF(bitand(表格4_7112[[#This Row],[DEC]],2)&gt;0,1,0)</calculatedColumnFormula>
    </tableColumn>
    <tableColumn id="6" name="傷害1狀態0" dataDxfId="26">
      <calculatedColumnFormula>IF(bitand(表格4_7112[[#This Row],[DEC]],1)&gt;0,1,0)</calculatedColumnFormula>
    </tableColumn>
    <tableColumn id="9" name="反應" dataDxfId="25">
      <calculatedColumnFormula xml:space="preserve"> TRUNC(表格4_7112[[#This Row],[DEC]]/(2^COLUMN()),0)*(2^COLUMN())</calculatedColumnFormula>
    </tableColumn>
    <tableColumn id="11" name="欄1"/>
    <tableColumn id="4" name="中文" dataDxfId="24">
      <calculatedColumnFormula>$A$1&amp;表格4_7112[[#This Row],[欄1]]&amp;$A$1&amp;","</calculatedColumnFormula>
    </tableColumn>
    <tableColumn id="3" name="Enum" dataDxfId="23">
      <calculatedColumnFormula>CONCATENATE(表格4_7112[[#This Row],[反應]]," = ",表格4_7112[[#This Row],[DEC]],",")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格4_711" displayName="表格4_711" ref="B1:L257" totalsRowShown="0" headerRowDxfId="22" dataDxfId="21">
  <autoFilter ref="B1:L257"/>
  <tableColumns count="11">
    <tableColumn id="2" name="DEC" dataDxfId="20">
      <calculatedColumnFormula>ROW()-2</calculatedColumnFormula>
    </tableColumn>
    <tableColumn id="1" name="屬性" dataDxfId="19">
      <calculatedColumnFormula>DEC2BIN(表格4_711[[#This Row],[DEC]]/2^($A$1-COLUMN()),3)</calculatedColumnFormula>
    </tableColumn>
    <tableColumn id="5" name="瞬間1持續0" dataDxfId="18">
      <calculatedColumnFormula>IF(ISODD( INT(表格4_711[[#This Row],[DEC]]/(2^($A$1-COLUMN())))),1,0)</calculatedColumnFormula>
    </tableColumn>
    <tableColumn id="6" name="傷害1狀態0" dataDxfId="17">
      <calculatedColumnFormula>IF(ISODD( INT(表格4_711[[#This Row],[DEC]]/(2^($A$1-COLUMN())))),1,0)</calculatedColumnFormula>
    </tableColumn>
    <tableColumn id="7" name="定義0補正1" dataDxfId="16">
      <calculatedColumnFormula>IF(ISODD( INT(表格4_711[[#This Row],[DEC]]/(2^($A$1-COLUMN())))),1,0)</calculatedColumnFormula>
    </tableColumn>
    <tableColumn id="11" name="強度1範圍0" dataDxfId="15">
      <calculatedColumnFormula>IF(ISODD( INT(表格4_711[[#This Row],[DEC]]/(2^($A$1-COLUMN())))),1,0)</calculatedColumnFormula>
    </tableColumn>
    <tableColumn id="8" name="提升1降低0" dataDxfId="14">
      <calculatedColumnFormula>IF(ISODD( INT(表格4_711[[#This Row],[DEC]]/(2^($A$1-COLUMN())))),1,0)</calculatedColumnFormula>
    </tableColumn>
    <tableColumn id="9" name="反應" dataDxfId="13">
      <calculatedColumnFormula xml:space="preserve"> IF(bitand(表格4_711[[#This Row],[DEC]],7)&lt;1,"//", VLOOKUP(INT(表格4_711[[#This Row],[DEC]]/8),表格4_7112[],5,FALSE))</calculatedColumnFormula>
    </tableColumn>
    <tableColumn id="12" name="補正" dataDxfId="12">
      <calculatedColumnFormula xml:space="preserve"> VLOOKUP(bitand(表格4_711[[#This Row],[DEC]],8-1),表格2[],2,FALSE)</calculatedColumnFormula>
    </tableColumn>
    <tableColumn id="3" name="Enum" dataDxfId="11">
      <calculatedColumnFormula>CONCATENATE(表格4_711[[#This Row],[反應]],表格4_711[[#This Row],[補正]]," = ",表格4_711[[#This Row],[DEC]],",")</calculatedColumnFormula>
    </tableColumn>
    <tableColumn id="4" name="中文" dataDxfId="10">
      <calculatedColumnFormula xml:space="preserve"> AtomType!A$1 &amp; IFERROR(VLOOKUP(表格4_711[[#This Row],[反應]],表格4_7112[[反應]:[欄1]],2,FALSE),"") &amp; IF(ISBLANK(表格4_711[[#This Row],[反應]]),"",VLOOKUP(bitand(表格4_711[[#This Row],[DEC]],8-1),表格2[],3,FALSE))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格2" displayName="表格2" ref="N1:P9" totalsRowShown="0" headerRowDxfId="9" dataDxfId="8">
  <autoFilter ref="N1:P9"/>
  <tableColumns count="3">
    <tableColumn id="1" name="ID" dataDxfId="7">
      <calculatedColumnFormula>ROW(N2)-2</calculatedColumnFormula>
    </tableColumn>
    <tableColumn id="3" name="name" dataDxfId="6"/>
    <tableColumn id="2" name="中文" dataDxfId="5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V45"/>
  <sheetViews>
    <sheetView workbookViewId="0">
      <pane ySplit="2" topLeftCell="A3" activePane="bottomLeft" state="frozen"/>
      <selection pane="bottomLeft" activeCell="I15" sqref="I15"/>
    </sheetView>
  </sheetViews>
  <sheetFormatPr defaultColWidth="8.25" defaultRowHeight="14.25" x14ac:dyDescent="0.25"/>
  <cols>
    <col min="1" max="1" width="1.25" style="7" customWidth="1"/>
    <col min="2" max="2" width="7.5" style="7" customWidth="1"/>
    <col min="3" max="3" width="1.25" style="7" customWidth="1"/>
    <col min="4" max="5" width="8.25" style="7"/>
    <col min="6" max="6" width="1.25" style="7" customWidth="1"/>
    <col min="7" max="7" width="16.125" style="7" bestFit="1" customWidth="1"/>
    <col min="8" max="8" width="6.75" style="7" bestFit="1" customWidth="1"/>
    <col min="9" max="9" width="8" style="7" bestFit="1" customWidth="1"/>
    <col min="10" max="10" width="6.75" style="7" bestFit="1" customWidth="1"/>
    <col min="11" max="11" width="8" style="7" bestFit="1" customWidth="1"/>
    <col min="12" max="12" width="6.75" style="7" bestFit="1" customWidth="1"/>
    <col min="13" max="13" width="8" style="7" bestFit="1" customWidth="1"/>
    <col min="14" max="15" width="6.75" style="7" bestFit="1" customWidth="1"/>
    <col min="16" max="16" width="5.75" style="7" bestFit="1" customWidth="1"/>
    <col min="17" max="17" width="6" style="7" bestFit="1" customWidth="1"/>
    <col min="18" max="18" width="10.25" style="7" bestFit="1" customWidth="1"/>
    <col min="19" max="19" width="6" style="7" bestFit="1" customWidth="1"/>
    <col min="20" max="20" width="10.25" style="7" bestFit="1" customWidth="1"/>
    <col min="21" max="21" width="8.125" style="7" bestFit="1" customWidth="1"/>
    <col min="22" max="22" width="6" style="7" bestFit="1" customWidth="1"/>
    <col min="23" max="16384" width="8.25" style="7"/>
  </cols>
  <sheetData>
    <row r="1" spans="2:22" s="9" customFormat="1" ht="16.5" x14ac:dyDescent="0.25">
      <c r="B1" s="30" t="s">
        <v>39</v>
      </c>
      <c r="D1" s="8" t="s">
        <v>43</v>
      </c>
      <c r="E1" s="8"/>
      <c r="G1" s="14" t="s">
        <v>46</v>
      </c>
      <c r="H1" s="16" t="s">
        <v>44</v>
      </c>
      <c r="I1" s="13"/>
      <c r="J1" s="13"/>
      <c r="K1" s="13"/>
      <c r="L1" s="13"/>
      <c r="M1" s="13"/>
      <c r="N1" s="13"/>
      <c r="O1" s="13"/>
      <c r="P1"/>
    </row>
    <row r="2" spans="2:22" ht="16.5" x14ac:dyDescent="0.25">
      <c r="B2" s="6" t="s">
        <v>22</v>
      </c>
      <c r="D2" s="6" t="s">
        <v>20</v>
      </c>
      <c r="E2" s="6" t="s">
        <v>21</v>
      </c>
      <c r="G2" s="16" t="s">
        <v>45</v>
      </c>
      <c r="H2" s="11" t="s">
        <v>23</v>
      </c>
      <c r="I2" s="11" t="s">
        <v>25</v>
      </c>
      <c r="J2" s="11" t="s">
        <v>27</v>
      </c>
      <c r="K2" s="11" t="s">
        <v>29</v>
      </c>
      <c r="L2" s="11" t="s">
        <v>31</v>
      </c>
      <c r="M2" s="11" t="s">
        <v>33</v>
      </c>
      <c r="N2" s="11" t="s">
        <v>35</v>
      </c>
      <c r="O2" s="11" t="s">
        <v>37</v>
      </c>
      <c r="P2"/>
    </row>
    <row r="3" spans="2:22" ht="16.5" x14ac:dyDescent="0.25">
      <c r="B3" s="7" t="s">
        <v>24</v>
      </c>
      <c r="D3" s="7" t="s">
        <v>23</v>
      </c>
      <c r="E3" s="7" t="s">
        <v>29</v>
      </c>
      <c r="G3" s="15" t="s">
        <v>23</v>
      </c>
      <c r="H3" s="12"/>
      <c r="I3" s="12"/>
      <c r="J3" s="12"/>
      <c r="K3" s="12">
        <v>1</v>
      </c>
      <c r="L3" s="12"/>
      <c r="M3" s="12">
        <v>1</v>
      </c>
      <c r="N3" s="12">
        <v>1</v>
      </c>
      <c r="O3" s="12">
        <v>1</v>
      </c>
      <c r="P3"/>
    </row>
    <row r="4" spans="2:22" ht="16.5" x14ac:dyDescent="0.25">
      <c r="B4" s="7" t="s">
        <v>26</v>
      </c>
      <c r="D4" s="7" t="s">
        <v>23</v>
      </c>
      <c r="E4" s="7" t="s">
        <v>33</v>
      </c>
      <c r="G4" s="15" t="s">
        <v>25</v>
      </c>
      <c r="H4" s="12"/>
      <c r="I4" s="12"/>
      <c r="J4" s="12">
        <v>1</v>
      </c>
      <c r="K4" s="12"/>
      <c r="L4" s="12">
        <v>1</v>
      </c>
      <c r="M4" s="12"/>
      <c r="N4" s="12">
        <v>1</v>
      </c>
      <c r="O4" s="12">
        <v>1</v>
      </c>
      <c r="P4"/>
    </row>
    <row r="5" spans="2:22" ht="16.5" x14ac:dyDescent="0.25">
      <c r="B5" s="7" t="s">
        <v>28</v>
      </c>
      <c r="D5" s="7" t="s">
        <v>23</v>
      </c>
      <c r="E5" s="7" t="s">
        <v>35</v>
      </c>
      <c r="G5" s="15" t="s">
        <v>27</v>
      </c>
      <c r="H5" s="12"/>
      <c r="I5" s="12">
        <v>1</v>
      </c>
      <c r="J5" s="12"/>
      <c r="K5" s="12"/>
      <c r="L5" s="12"/>
      <c r="M5" s="12"/>
      <c r="N5" s="12">
        <v>1</v>
      </c>
      <c r="O5" s="12">
        <v>1</v>
      </c>
      <c r="P5"/>
    </row>
    <row r="6" spans="2:22" ht="16.5" x14ac:dyDescent="0.25">
      <c r="B6" s="7" t="s">
        <v>30</v>
      </c>
      <c r="D6" s="7" t="s">
        <v>23</v>
      </c>
      <c r="E6" s="7" t="s">
        <v>37</v>
      </c>
      <c r="G6" s="15" t="s">
        <v>29</v>
      </c>
      <c r="H6" s="12">
        <v>1</v>
      </c>
      <c r="I6" s="12"/>
      <c r="J6" s="12"/>
      <c r="K6" s="12"/>
      <c r="L6" s="12"/>
      <c r="M6" s="12"/>
      <c r="N6" s="12"/>
      <c r="O6" s="12"/>
      <c r="P6"/>
    </row>
    <row r="7" spans="2:22" ht="16.5" x14ac:dyDescent="0.25">
      <c r="B7" s="7" t="s">
        <v>32</v>
      </c>
      <c r="D7" s="7" t="s">
        <v>25</v>
      </c>
      <c r="E7" s="7" t="s">
        <v>27</v>
      </c>
      <c r="G7" s="15" t="s">
        <v>31</v>
      </c>
      <c r="H7" s="12"/>
      <c r="I7" s="12">
        <v>1</v>
      </c>
      <c r="J7" s="12"/>
      <c r="K7" s="12"/>
      <c r="L7" s="12"/>
      <c r="M7" s="12"/>
      <c r="N7" s="12">
        <v>1</v>
      </c>
      <c r="O7" s="12">
        <v>1</v>
      </c>
      <c r="P7"/>
    </row>
    <row r="8" spans="2:22" ht="16.5" x14ac:dyDescent="0.25">
      <c r="B8" s="7" t="s">
        <v>34</v>
      </c>
      <c r="D8" s="7" t="s">
        <v>25</v>
      </c>
      <c r="E8" s="7" t="s">
        <v>31</v>
      </c>
      <c r="G8" s="15" t="s">
        <v>33</v>
      </c>
      <c r="H8" s="12">
        <v>1</v>
      </c>
      <c r="I8" s="12"/>
      <c r="J8" s="12"/>
      <c r="K8" s="12"/>
      <c r="L8" s="12"/>
      <c r="M8" s="12"/>
      <c r="N8" s="12"/>
      <c r="O8" s="12"/>
      <c r="P8"/>
    </row>
    <row r="9" spans="2:22" ht="16.5" x14ac:dyDescent="0.25">
      <c r="B9" s="7" t="s">
        <v>36</v>
      </c>
      <c r="D9" s="7" t="s">
        <v>25</v>
      </c>
      <c r="E9" s="7" t="s">
        <v>35</v>
      </c>
      <c r="G9" s="15" t="s">
        <v>35</v>
      </c>
      <c r="H9" s="12">
        <v>1</v>
      </c>
      <c r="I9" s="12"/>
      <c r="J9" s="12">
        <v>1</v>
      </c>
      <c r="K9" s="12"/>
      <c r="L9" s="12">
        <v>1</v>
      </c>
      <c r="M9" s="12"/>
      <c r="N9" s="12">
        <v>1</v>
      </c>
      <c r="O9" s="12"/>
      <c r="P9"/>
    </row>
    <row r="10" spans="2:22" ht="16.5" x14ac:dyDescent="0.25">
      <c r="B10" s="7" t="s">
        <v>38</v>
      </c>
      <c r="D10" s="7" t="s">
        <v>25</v>
      </c>
      <c r="E10" s="7" t="s">
        <v>37</v>
      </c>
      <c r="G10"/>
      <c r="H10"/>
      <c r="I10"/>
      <c r="J10"/>
      <c r="K10"/>
      <c r="L10"/>
      <c r="M10"/>
      <c r="N10"/>
      <c r="O10"/>
      <c r="P10"/>
    </row>
    <row r="11" spans="2:22" x14ac:dyDescent="0.25">
      <c r="D11" s="7" t="s">
        <v>27</v>
      </c>
      <c r="E11" s="7" t="s">
        <v>25</v>
      </c>
      <c r="G11" s="9"/>
    </row>
    <row r="12" spans="2:22" ht="16.5" x14ac:dyDescent="0.25">
      <c r="D12" s="7" t="s">
        <v>27</v>
      </c>
      <c r="E12" s="7" t="s">
        <v>35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2:22" ht="16.5" x14ac:dyDescent="0.25">
      <c r="D13" s="7" t="s">
        <v>27</v>
      </c>
      <c r="E13" s="7" t="s">
        <v>37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2:22" ht="16.5" x14ac:dyDescent="0.25">
      <c r="D14" s="7" t="s">
        <v>29</v>
      </c>
      <c r="E14" s="7" t="s">
        <v>23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2:22" ht="16.5" x14ac:dyDescent="0.25">
      <c r="D15" s="7" t="s">
        <v>31</v>
      </c>
      <c r="E15" s="7" t="s">
        <v>25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2:22" ht="16.5" x14ac:dyDescent="0.25">
      <c r="D16" s="7" t="s">
        <v>31</v>
      </c>
      <c r="E16" s="7" t="s">
        <v>35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4:22" ht="16.5" x14ac:dyDescent="0.25">
      <c r="D17" s="7" t="s">
        <v>31</v>
      </c>
      <c r="E17" s="7" t="s">
        <v>37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4:22" ht="16.5" x14ac:dyDescent="0.25">
      <c r="D18" s="7" t="s">
        <v>33</v>
      </c>
      <c r="E18" s="7" t="s">
        <v>23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4:22" ht="16.5" x14ac:dyDescent="0.25">
      <c r="D19" s="7" t="s">
        <v>35</v>
      </c>
      <c r="E19" s="7" t="s">
        <v>23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4:22" ht="16.5" x14ac:dyDescent="0.25">
      <c r="D20" s="7" t="s">
        <v>35</v>
      </c>
      <c r="E20" s="7" t="s">
        <v>27</v>
      </c>
      <c r="G20"/>
      <c r="H20"/>
      <c r="I20"/>
      <c r="J20"/>
      <c r="K20"/>
      <c r="L20"/>
      <c r="M20"/>
      <c r="N20"/>
      <c r="O20"/>
      <c r="P20"/>
      <c r="Q20"/>
      <c r="R20"/>
    </row>
    <row r="21" spans="4:22" ht="16.5" x14ac:dyDescent="0.25">
      <c r="D21" s="7" t="s">
        <v>35</v>
      </c>
      <c r="E21" s="7" t="s">
        <v>31</v>
      </c>
      <c r="G21"/>
      <c r="H21"/>
      <c r="I21"/>
      <c r="J21"/>
      <c r="K21"/>
      <c r="L21"/>
      <c r="M21"/>
      <c r="N21"/>
      <c r="O21"/>
      <c r="P21"/>
      <c r="Q21"/>
      <c r="R21"/>
    </row>
    <row r="22" spans="4:22" ht="16.5" x14ac:dyDescent="0.25">
      <c r="D22" s="7" t="s">
        <v>35</v>
      </c>
      <c r="E22" s="7" t="s">
        <v>35</v>
      </c>
      <c r="G22"/>
      <c r="H22"/>
      <c r="I22"/>
      <c r="J22"/>
      <c r="K22"/>
      <c r="L22"/>
      <c r="M22"/>
      <c r="N22"/>
      <c r="O22"/>
      <c r="P22"/>
      <c r="Q22"/>
      <c r="R22"/>
    </row>
    <row r="23" spans="4:22" ht="16.5" x14ac:dyDescent="0.25">
      <c r="G23"/>
      <c r="H23"/>
      <c r="I23"/>
      <c r="J23"/>
      <c r="K23"/>
      <c r="L23"/>
      <c r="M23"/>
      <c r="N23"/>
      <c r="O23"/>
      <c r="P23"/>
      <c r="Q23"/>
      <c r="R23"/>
    </row>
    <row r="24" spans="4:22" ht="16.5" x14ac:dyDescent="0.25">
      <c r="G24"/>
      <c r="H24"/>
      <c r="I24"/>
      <c r="J24"/>
      <c r="K24"/>
      <c r="L24"/>
      <c r="M24"/>
      <c r="N24"/>
      <c r="O24"/>
      <c r="P24"/>
      <c r="Q24"/>
      <c r="R24"/>
    </row>
    <row r="25" spans="4:22" ht="16.5" x14ac:dyDescent="0.25">
      <c r="G25"/>
      <c r="H25"/>
      <c r="I25"/>
      <c r="J25"/>
      <c r="K25"/>
      <c r="L25"/>
      <c r="M25"/>
    </row>
    <row r="26" spans="4:22" ht="16.5" x14ac:dyDescent="0.25">
      <c r="G26"/>
      <c r="H26"/>
      <c r="I26"/>
      <c r="J26"/>
      <c r="K26"/>
      <c r="L26"/>
      <c r="M26"/>
    </row>
    <row r="27" spans="4:22" ht="16.5" x14ac:dyDescent="0.25">
      <c r="G27"/>
      <c r="H27"/>
      <c r="I27"/>
      <c r="J27"/>
      <c r="K27"/>
      <c r="L27"/>
      <c r="M27"/>
    </row>
    <row r="28" spans="4:22" ht="16.5" x14ac:dyDescent="0.25">
      <c r="G28"/>
      <c r="H28"/>
      <c r="I28"/>
      <c r="J28"/>
      <c r="K28"/>
      <c r="L28"/>
      <c r="M28"/>
    </row>
    <row r="29" spans="4:22" ht="16.5" x14ac:dyDescent="0.25">
      <c r="G29"/>
      <c r="H29"/>
      <c r="I29"/>
      <c r="J29"/>
      <c r="K29"/>
      <c r="L29"/>
      <c r="M29"/>
    </row>
    <row r="30" spans="4:22" ht="16.5" x14ac:dyDescent="0.25">
      <c r="G30"/>
      <c r="H30"/>
      <c r="I30"/>
      <c r="J30"/>
      <c r="K30"/>
      <c r="L30"/>
      <c r="M30"/>
    </row>
    <row r="31" spans="4:22" ht="16.5" x14ac:dyDescent="0.25">
      <c r="G31"/>
      <c r="H31"/>
      <c r="I31"/>
      <c r="J31"/>
      <c r="K31"/>
      <c r="L31"/>
      <c r="M31"/>
    </row>
    <row r="32" spans="4:22" ht="16.5" x14ac:dyDescent="0.25">
      <c r="G32"/>
      <c r="H32"/>
      <c r="I32"/>
      <c r="J32"/>
    </row>
    <row r="33" spans="7:10" ht="16.5" x14ac:dyDescent="0.25">
      <c r="G33"/>
      <c r="H33"/>
      <c r="I33"/>
      <c r="J33"/>
    </row>
    <row r="34" spans="7:10" ht="16.5" x14ac:dyDescent="0.25">
      <c r="G34"/>
      <c r="H34"/>
      <c r="I34"/>
      <c r="J34"/>
    </row>
    <row r="35" spans="7:10" ht="16.5" x14ac:dyDescent="0.25">
      <c r="G35"/>
      <c r="H35"/>
      <c r="I35"/>
      <c r="J35"/>
    </row>
    <row r="36" spans="7:10" ht="16.5" x14ac:dyDescent="0.25">
      <c r="G36"/>
      <c r="H36"/>
      <c r="I36"/>
      <c r="J36"/>
    </row>
    <row r="37" spans="7:10" ht="16.5" x14ac:dyDescent="0.25">
      <c r="G37"/>
      <c r="H37"/>
      <c r="I37"/>
      <c r="J37"/>
    </row>
    <row r="38" spans="7:10" ht="16.5" x14ac:dyDescent="0.25">
      <c r="G38"/>
      <c r="H38"/>
      <c r="I38"/>
      <c r="J38"/>
    </row>
    <row r="39" spans="7:10" ht="16.5" x14ac:dyDescent="0.25">
      <c r="G39"/>
      <c r="H39"/>
      <c r="I39"/>
      <c r="J39"/>
    </row>
    <row r="40" spans="7:10" ht="16.5" x14ac:dyDescent="0.25">
      <c r="G40"/>
      <c r="H40"/>
      <c r="I40"/>
      <c r="J40"/>
    </row>
    <row r="41" spans="7:10" ht="16.5" x14ac:dyDescent="0.25">
      <c r="G41"/>
      <c r="H41"/>
      <c r="I41"/>
      <c r="J41"/>
    </row>
    <row r="42" spans="7:10" ht="16.5" x14ac:dyDescent="0.25">
      <c r="G42"/>
      <c r="H42"/>
      <c r="I42"/>
      <c r="J42"/>
    </row>
    <row r="43" spans="7:10" ht="16.5" x14ac:dyDescent="0.25">
      <c r="G43"/>
      <c r="H43"/>
      <c r="I43"/>
      <c r="J43"/>
    </row>
    <row r="44" spans="7:10" ht="16.5" x14ac:dyDescent="0.25">
      <c r="G44"/>
      <c r="H44"/>
      <c r="I44"/>
      <c r="J44"/>
    </row>
    <row r="45" spans="7:10" ht="16.5" x14ac:dyDescent="0.25">
      <c r="G45"/>
      <c r="H45"/>
      <c r="I45"/>
      <c r="J45"/>
    </row>
  </sheetData>
  <phoneticPr fontId="2" type="noConversion"/>
  <conditionalFormatting pivot="1" sqref="H3:O9">
    <cfRule type="notContainsBlanks" dxfId="4" priority="1">
      <formula>LEN(TRIM(H3))&gt;0</formula>
    </cfRule>
  </conditionalFormatting>
  <dataValidations count="1">
    <dataValidation type="list" allowBlank="1" showInputMessage="1" showErrorMessage="1" sqref="D3:E22">
      <formula1>群組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T46"/>
  <sheetViews>
    <sheetView topLeftCell="B1" workbookViewId="0">
      <pane ySplit="2" topLeftCell="A3" activePane="bottomLeft" state="frozen"/>
      <selection pane="bottomLeft" activeCell="I14" sqref="I14"/>
    </sheetView>
  </sheetViews>
  <sheetFormatPr defaultColWidth="6.125" defaultRowHeight="14.25" x14ac:dyDescent="0.25"/>
  <cols>
    <col min="1" max="1" width="1.25" style="7" customWidth="1"/>
    <col min="2" max="2" width="7.5" style="7" customWidth="1"/>
    <col min="3" max="3" width="4.25" style="7" customWidth="1"/>
    <col min="4" max="4" width="1.25" style="7" customWidth="1"/>
    <col min="5" max="6" width="6.125" style="7"/>
    <col min="7" max="7" width="1.25" style="7" customWidth="1"/>
    <col min="8" max="8" width="8" style="7" customWidth="1"/>
    <col min="9" max="9" width="6.75" style="7" customWidth="1"/>
    <col min="10" max="19" width="5" style="7" customWidth="1"/>
    <col min="20" max="20" width="5" style="7" bestFit="1" customWidth="1"/>
    <col min="21" max="16384" width="6.125" style="7"/>
  </cols>
  <sheetData>
    <row r="1" spans="2:20" s="9" customFormat="1" ht="16.5" x14ac:dyDescent="0.25">
      <c r="B1" s="30" t="s">
        <v>40</v>
      </c>
      <c r="C1" s="30"/>
      <c r="E1" s="8" t="s">
        <v>42</v>
      </c>
      <c r="F1" s="8"/>
      <c r="H1" s="10" t="s">
        <v>216</v>
      </c>
      <c r="I1" s="18" t="s">
        <v>44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/>
    </row>
    <row r="2" spans="2:20" ht="16.5" x14ac:dyDescent="0.25">
      <c r="B2" s="6" t="s">
        <v>1</v>
      </c>
      <c r="C2" s="6" t="s">
        <v>194</v>
      </c>
      <c r="E2" s="6" t="s">
        <v>20</v>
      </c>
      <c r="F2" s="6" t="s">
        <v>21</v>
      </c>
      <c r="H2" s="18" t="s">
        <v>45</v>
      </c>
      <c r="I2" s="19" t="s">
        <v>5</v>
      </c>
      <c r="J2" s="19" t="s">
        <v>3</v>
      </c>
      <c r="K2" s="19" t="s">
        <v>214</v>
      </c>
      <c r="L2" s="19" t="s">
        <v>0</v>
      </c>
      <c r="M2" s="19" t="s">
        <v>6</v>
      </c>
      <c r="N2" s="19" t="s">
        <v>8</v>
      </c>
      <c r="O2" s="19" t="s">
        <v>10</v>
      </c>
      <c r="P2" s="19" t="s">
        <v>12</v>
      </c>
      <c r="Q2" s="19" t="s">
        <v>14</v>
      </c>
      <c r="R2" s="19" t="s">
        <v>16</v>
      </c>
      <c r="S2" s="19" t="s">
        <v>18</v>
      </c>
      <c r="T2"/>
    </row>
    <row r="3" spans="2:20" ht="16.5" x14ac:dyDescent="0.25">
      <c r="B3" s="7" t="s">
        <v>217</v>
      </c>
      <c r="C3" s="7">
        <v>0</v>
      </c>
      <c r="E3" s="7" t="s">
        <v>5</v>
      </c>
      <c r="F3" s="7" t="s">
        <v>5</v>
      </c>
      <c r="H3" s="20" t="s">
        <v>5</v>
      </c>
      <c r="I3" s="21">
        <v>1</v>
      </c>
      <c r="J3" s="21">
        <v>1</v>
      </c>
      <c r="K3" s="21">
        <v>1</v>
      </c>
      <c r="L3" s="21">
        <v>1</v>
      </c>
      <c r="M3" s="21">
        <v>1</v>
      </c>
      <c r="N3" s="21">
        <v>1</v>
      </c>
      <c r="O3" s="21">
        <v>1</v>
      </c>
      <c r="P3" s="21">
        <v>1</v>
      </c>
      <c r="Q3" s="21">
        <v>1</v>
      </c>
      <c r="R3" s="21">
        <v>1</v>
      </c>
      <c r="S3" s="21">
        <v>1</v>
      </c>
      <c r="T3"/>
    </row>
    <row r="4" spans="2:20" ht="16.5" x14ac:dyDescent="0.25">
      <c r="B4" s="7" t="s">
        <v>212</v>
      </c>
      <c r="C4" s="7">
        <v>2</v>
      </c>
      <c r="E4" s="7" t="s">
        <v>5</v>
      </c>
      <c r="F4" s="7" t="s">
        <v>3</v>
      </c>
      <c r="H4" s="20" t="s">
        <v>3</v>
      </c>
      <c r="I4" s="21"/>
      <c r="J4" s="21"/>
      <c r="K4" s="21">
        <v>1</v>
      </c>
      <c r="L4" s="21">
        <v>1</v>
      </c>
      <c r="M4" s="21">
        <v>1</v>
      </c>
      <c r="N4" s="21">
        <v>1</v>
      </c>
      <c r="O4" s="21">
        <v>1</v>
      </c>
      <c r="P4" s="21">
        <v>1</v>
      </c>
      <c r="Q4" s="21">
        <v>1</v>
      </c>
      <c r="R4" s="21">
        <v>1</v>
      </c>
      <c r="S4" s="21">
        <v>1</v>
      </c>
      <c r="T4"/>
    </row>
    <row r="5" spans="2:20" ht="16.5" x14ac:dyDescent="0.25">
      <c r="B5" s="7" t="s">
        <v>4</v>
      </c>
      <c r="C5" s="7">
        <v>3</v>
      </c>
      <c r="E5" s="7" t="s">
        <v>5</v>
      </c>
      <c r="F5" s="7" t="s">
        <v>214</v>
      </c>
      <c r="H5" s="20" t="s">
        <v>6</v>
      </c>
      <c r="I5" s="21"/>
      <c r="J5" s="21"/>
      <c r="K5" s="21"/>
      <c r="L5" s="21"/>
      <c r="M5" s="21">
        <v>1</v>
      </c>
      <c r="N5" s="21">
        <v>1</v>
      </c>
      <c r="O5" s="21">
        <v>1</v>
      </c>
      <c r="P5" s="21">
        <v>1</v>
      </c>
      <c r="Q5" s="21">
        <v>1</v>
      </c>
      <c r="R5" s="21">
        <v>1</v>
      </c>
      <c r="S5" s="21">
        <v>1</v>
      </c>
      <c r="T5"/>
    </row>
    <row r="6" spans="2:20" ht="16.5" x14ac:dyDescent="0.25">
      <c r="B6" s="7" t="s">
        <v>215</v>
      </c>
      <c r="C6" s="7">
        <v>4</v>
      </c>
      <c r="E6" s="7" t="s">
        <v>5</v>
      </c>
      <c r="F6" s="7" t="s">
        <v>0</v>
      </c>
      <c r="H6" s="20" t="s">
        <v>8</v>
      </c>
      <c r="I6" s="21"/>
      <c r="J6" s="21"/>
      <c r="K6" s="21"/>
      <c r="L6" s="21"/>
      <c r="M6" s="21"/>
      <c r="N6" s="21"/>
      <c r="O6" s="21">
        <v>1</v>
      </c>
      <c r="P6" s="21">
        <v>1</v>
      </c>
      <c r="Q6" s="21">
        <v>1</v>
      </c>
      <c r="R6" s="21">
        <v>1</v>
      </c>
      <c r="S6" s="21">
        <v>1</v>
      </c>
      <c r="T6"/>
    </row>
    <row r="7" spans="2:20" ht="16.5" x14ac:dyDescent="0.25">
      <c r="B7" s="7" t="s">
        <v>213</v>
      </c>
      <c r="C7" s="7">
        <v>5</v>
      </c>
      <c r="E7" s="7" t="s">
        <v>5</v>
      </c>
      <c r="F7" s="7" t="s">
        <v>6</v>
      </c>
      <c r="H7" s="20" t="s">
        <v>10</v>
      </c>
      <c r="I7" s="21"/>
      <c r="J7" s="21"/>
      <c r="K7" s="21"/>
      <c r="L7" s="21"/>
      <c r="M7" s="21"/>
      <c r="N7" s="21"/>
      <c r="O7" s="21">
        <v>1</v>
      </c>
      <c r="P7" s="21">
        <v>1</v>
      </c>
      <c r="Q7" s="21">
        <v>1</v>
      </c>
      <c r="R7" s="21">
        <v>1</v>
      </c>
      <c r="S7" s="21">
        <v>1</v>
      </c>
      <c r="T7"/>
    </row>
    <row r="8" spans="2:20" ht="16.5" x14ac:dyDescent="0.25">
      <c r="B8" s="7" t="s">
        <v>7</v>
      </c>
      <c r="C8" s="7">
        <v>6</v>
      </c>
      <c r="E8" s="7" t="s">
        <v>5</v>
      </c>
      <c r="F8" s="7" t="s">
        <v>8</v>
      </c>
      <c r="H8" s="20" t="s">
        <v>12</v>
      </c>
      <c r="I8" s="21"/>
      <c r="J8" s="21"/>
      <c r="K8" s="21"/>
      <c r="L8" s="21"/>
      <c r="M8" s="21"/>
      <c r="N8" s="21"/>
      <c r="O8" s="21"/>
      <c r="P8" s="21"/>
      <c r="Q8" s="21">
        <v>1</v>
      </c>
      <c r="R8" s="21">
        <v>1</v>
      </c>
      <c r="S8" s="21">
        <v>1</v>
      </c>
      <c r="T8"/>
    </row>
    <row r="9" spans="2:20" ht="16.5" x14ac:dyDescent="0.25">
      <c r="B9" s="7" t="s">
        <v>9</v>
      </c>
      <c r="C9" s="7">
        <v>7</v>
      </c>
      <c r="E9" s="7" t="s">
        <v>5</v>
      </c>
      <c r="F9" s="7" t="s">
        <v>10</v>
      </c>
      <c r="H9" s="20" t="s">
        <v>14</v>
      </c>
      <c r="I9" s="21"/>
      <c r="J9" s="21"/>
      <c r="K9" s="21"/>
      <c r="L9" s="21"/>
      <c r="M9" s="21"/>
      <c r="N9" s="21"/>
      <c r="O9" s="21"/>
      <c r="P9" s="21"/>
      <c r="Q9" s="21">
        <v>1</v>
      </c>
      <c r="R9" s="21">
        <v>1</v>
      </c>
      <c r="S9" s="21">
        <v>1</v>
      </c>
      <c r="T9"/>
    </row>
    <row r="10" spans="2:20" ht="16.5" x14ac:dyDescent="0.25">
      <c r="B10" s="7" t="s">
        <v>11</v>
      </c>
      <c r="C10" s="7">
        <v>8</v>
      </c>
      <c r="E10" s="7" t="s">
        <v>5</v>
      </c>
      <c r="F10" s="7" t="s">
        <v>12</v>
      </c>
      <c r="H10" s="20" t="s">
        <v>16</v>
      </c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>
        <v>1</v>
      </c>
      <c r="T10"/>
    </row>
    <row r="11" spans="2:20" ht="16.5" x14ac:dyDescent="0.25">
      <c r="B11" s="7" t="s">
        <v>13</v>
      </c>
      <c r="C11" s="7">
        <v>9</v>
      </c>
      <c r="E11" s="7" t="s">
        <v>5</v>
      </c>
      <c r="F11" s="7" t="s">
        <v>14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2:20" ht="16.5" x14ac:dyDescent="0.25">
      <c r="B12" s="7" t="s">
        <v>15</v>
      </c>
      <c r="C12" s="7">
        <v>10</v>
      </c>
      <c r="E12" s="7" t="s">
        <v>5</v>
      </c>
      <c r="F12" s="7" t="s">
        <v>16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2:20" ht="16.5" x14ac:dyDescent="0.25">
      <c r="B13" s="7" t="s">
        <v>17</v>
      </c>
      <c r="C13" s="7">
        <v>11</v>
      </c>
      <c r="E13" s="7" t="s">
        <v>5</v>
      </c>
      <c r="F13" s="7" t="s">
        <v>18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2:20" ht="16.5" x14ac:dyDescent="0.25">
      <c r="B14" s="7" t="s">
        <v>19</v>
      </c>
      <c r="C14" s="7">
        <v>13</v>
      </c>
      <c r="E14" s="7" t="s">
        <v>3</v>
      </c>
      <c r="F14" s="7" t="s">
        <v>214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2:20" x14ac:dyDescent="0.25">
      <c r="E15" s="7" t="s">
        <v>3</v>
      </c>
      <c r="F15" s="7" t="s">
        <v>0</v>
      </c>
      <c r="H15" s="9"/>
      <c r="I15" s="9"/>
      <c r="J15" s="9"/>
    </row>
    <row r="16" spans="2:20" x14ac:dyDescent="0.25">
      <c r="E16" s="7" t="s">
        <v>3</v>
      </c>
      <c r="F16" s="7" t="s">
        <v>6</v>
      </c>
      <c r="H16" s="9"/>
      <c r="I16" s="9"/>
      <c r="J16" s="9"/>
    </row>
    <row r="17" spans="5:10" x14ac:dyDescent="0.25">
      <c r="E17" s="7" t="s">
        <v>3</v>
      </c>
      <c r="F17" s="7" t="s">
        <v>8</v>
      </c>
      <c r="H17" s="9"/>
      <c r="I17" s="9"/>
      <c r="J17" s="9"/>
    </row>
    <row r="18" spans="5:10" x14ac:dyDescent="0.25">
      <c r="E18" s="7" t="s">
        <v>3</v>
      </c>
      <c r="F18" s="7" t="s">
        <v>10</v>
      </c>
      <c r="H18" s="9"/>
      <c r="I18" s="9"/>
      <c r="J18" s="9"/>
    </row>
    <row r="19" spans="5:10" x14ac:dyDescent="0.25">
      <c r="E19" s="7" t="s">
        <v>3</v>
      </c>
      <c r="F19" s="7" t="s">
        <v>12</v>
      </c>
    </row>
    <row r="20" spans="5:10" x14ac:dyDescent="0.25">
      <c r="E20" s="7" t="s">
        <v>3</v>
      </c>
      <c r="F20" s="7" t="s">
        <v>14</v>
      </c>
    </row>
    <row r="21" spans="5:10" x14ac:dyDescent="0.25">
      <c r="E21" s="7" t="s">
        <v>3</v>
      </c>
      <c r="F21" s="7" t="s">
        <v>16</v>
      </c>
    </row>
    <row r="22" spans="5:10" x14ac:dyDescent="0.25">
      <c r="E22" s="7" t="s">
        <v>3</v>
      </c>
      <c r="F22" s="7" t="s">
        <v>18</v>
      </c>
    </row>
    <row r="23" spans="5:10" x14ac:dyDescent="0.25">
      <c r="E23" s="7" t="s">
        <v>6</v>
      </c>
      <c r="F23" s="7" t="s">
        <v>6</v>
      </c>
    </row>
    <row r="24" spans="5:10" x14ac:dyDescent="0.25">
      <c r="E24" s="7" t="s">
        <v>6</v>
      </c>
      <c r="F24" s="7" t="s">
        <v>8</v>
      </c>
    </row>
    <row r="25" spans="5:10" x14ac:dyDescent="0.25">
      <c r="E25" s="7" t="s">
        <v>6</v>
      </c>
      <c r="F25" s="7" t="s">
        <v>10</v>
      </c>
    </row>
    <row r="26" spans="5:10" x14ac:dyDescent="0.25">
      <c r="E26" s="7" t="s">
        <v>6</v>
      </c>
      <c r="F26" s="7" t="s">
        <v>12</v>
      </c>
    </row>
    <row r="27" spans="5:10" x14ac:dyDescent="0.25">
      <c r="E27" s="7" t="s">
        <v>6</v>
      </c>
      <c r="F27" s="7" t="s">
        <v>14</v>
      </c>
    </row>
    <row r="28" spans="5:10" x14ac:dyDescent="0.25">
      <c r="E28" s="7" t="s">
        <v>6</v>
      </c>
      <c r="F28" s="7" t="s">
        <v>16</v>
      </c>
    </row>
    <row r="29" spans="5:10" x14ac:dyDescent="0.25">
      <c r="E29" s="7" t="s">
        <v>6</v>
      </c>
      <c r="F29" s="7" t="s">
        <v>18</v>
      </c>
    </row>
    <row r="30" spans="5:10" x14ac:dyDescent="0.25">
      <c r="E30" s="7" t="s">
        <v>8</v>
      </c>
      <c r="F30" s="7" t="s">
        <v>10</v>
      </c>
    </row>
    <row r="31" spans="5:10" x14ac:dyDescent="0.25">
      <c r="E31" s="7" t="s">
        <v>8</v>
      </c>
      <c r="F31" s="7" t="s">
        <v>12</v>
      </c>
    </row>
    <row r="32" spans="5:10" x14ac:dyDescent="0.25">
      <c r="E32" s="7" t="s">
        <v>8</v>
      </c>
      <c r="F32" s="7" t="s">
        <v>14</v>
      </c>
    </row>
    <row r="33" spans="5:6" x14ac:dyDescent="0.25">
      <c r="E33" s="7" t="s">
        <v>8</v>
      </c>
      <c r="F33" s="7" t="s">
        <v>16</v>
      </c>
    </row>
    <row r="34" spans="5:6" x14ac:dyDescent="0.25">
      <c r="E34" s="7" t="s">
        <v>8</v>
      </c>
      <c r="F34" s="7" t="s">
        <v>18</v>
      </c>
    </row>
    <row r="35" spans="5:6" x14ac:dyDescent="0.25">
      <c r="E35" s="7" t="s">
        <v>10</v>
      </c>
      <c r="F35" s="7" t="s">
        <v>10</v>
      </c>
    </row>
    <row r="36" spans="5:6" x14ac:dyDescent="0.25">
      <c r="E36" s="7" t="s">
        <v>10</v>
      </c>
      <c r="F36" s="7" t="s">
        <v>12</v>
      </c>
    </row>
    <row r="37" spans="5:6" x14ac:dyDescent="0.25">
      <c r="E37" s="7" t="s">
        <v>10</v>
      </c>
      <c r="F37" s="7" t="s">
        <v>14</v>
      </c>
    </row>
    <row r="38" spans="5:6" x14ac:dyDescent="0.25">
      <c r="E38" s="7" t="s">
        <v>10</v>
      </c>
      <c r="F38" s="7" t="s">
        <v>16</v>
      </c>
    </row>
    <row r="39" spans="5:6" x14ac:dyDescent="0.25">
      <c r="E39" s="7" t="s">
        <v>10</v>
      </c>
      <c r="F39" s="7" t="s">
        <v>18</v>
      </c>
    </row>
    <row r="40" spans="5:6" x14ac:dyDescent="0.25">
      <c r="E40" s="7" t="s">
        <v>12</v>
      </c>
      <c r="F40" s="7" t="s">
        <v>14</v>
      </c>
    </row>
    <row r="41" spans="5:6" x14ac:dyDescent="0.25">
      <c r="E41" s="7" t="s">
        <v>12</v>
      </c>
      <c r="F41" s="7" t="s">
        <v>16</v>
      </c>
    </row>
    <row r="42" spans="5:6" x14ac:dyDescent="0.25">
      <c r="E42" s="7" t="s">
        <v>12</v>
      </c>
      <c r="F42" s="7" t="s">
        <v>18</v>
      </c>
    </row>
    <row r="43" spans="5:6" x14ac:dyDescent="0.25">
      <c r="E43" s="7" t="s">
        <v>14</v>
      </c>
      <c r="F43" s="7" t="s">
        <v>14</v>
      </c>
    </row>
    <row r="44" spans="5:6" x14ac:dyDescent="0.25">
      <c r="E44" s="7" t="s">
        <v>14</v>
      </c>
      <c r="F44" s="7" t="s">
        <v>16</v>
      </c>
    </row>
    <row r="45" spans="5:6" x14ac:dyDescent="0.25">
      <c r="E45" s="7" t="s">
        <v>14</v>
      </c>
      <c r="F45" s="7" t="s">
        <v>18</v>
      </c>
    </row>
    <row r="46" spans="5:6" x14ac:dyDescent="0.25">
      <c r="E46" s="7" t="s">
        <v>16</v>
      </c>
      <c r="F46" s="7" t="s">
        <v>18</v>
      </c>
    </row>
  </sheetData>
  <phoneticPr fontId="2" type="noConversion"/>
  <conditionalFormatting pivot="1" sqref="I3:T14">
    <cfRule type="notContainsBlanks" dxfId="3" priority="6">
      <formula>LEN(TRIM(I3))&gt;0</formula>
    </cfRule>
  </conditionalFormatting>
  <dataValidations count="1">
    <dataValidation type="list" allowBlank="1" showInputMessage="1" showErrorMessage="1" sqref="E3:F46">
      <formula1>硬度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H38"/>
  <sheetViews>
    <sheetView workbookViewId="0">
      <pane ySplit="2" topLeftCell="A3" activePane="bottomLeft" state="frozen"/>
      <selection pane="bottomLeft" activeCell="F27" sqref="F27"/>
    </sheetView>
  </sheetViews>
  <sheetFormatPr defaultColWidth="6.125" defaultRowHeight="14.25" x14ac:dyDescent="0.25"/>
  <cols>
    <col min="1" max="1" width="1.25" style="2" customWidth="1"/>
    <col min="2" max="2" width="7.5" style="2" customWidth="1"/>
    <col min="3" max="3" width="1.25" style="2" customWidth="1"/>
    <col min="4" max="5" width="9.75" style="3" customWidth="1"/>
    <col min="6" max="7" width="6.25" style="3" customWidth="1"/>
    <col min="8" max="8" width="1.25" style="2" customWidth="1"/>
    <col min="9" max="9" width="7.875" style="27" customWidth="1"/>
    <col min="10" max="10" width="5.5" style="27" customWidth="1"/>
    <col min="11" max="19" width="8.875" style="27" customWidth="1"/>
    <col min="20" max="21" width="8.875" style="4" customWidth="1"/>
    <col min="22" max="16384" width="6.125" style="4"/>
  </cols>
  <sheetData>
    <row r="1" spans="2:34" s="1" customFormat="1" x14ac:dyDescent="0.25">
      <c r="B1" s="29" t="s">
        <v>41</v>
      </c>
      <c r="D1" s="23" t="s">
        <v>50</v>
      </c>
      <c r="E1" s="23"/>
      <c r="F1" s="23"/>
      <c r="G1" s="23"/>
      <c r="I1" s="17" t="s">
        <v>51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2:34" s="26" customFormat="1" ht="16.5" x14ac:dyDescent="0.25">
      <c r="B2" s="26" t="s">
        <v>2</v>
      </c>
      <c r="D2" s="28" t="s">
        <v>74</v>
      </c>
      <c r="E2" s="28" t="s">
        <v>47</v>
      </c>
      <c r="F2" s="28" t="s">
        <v>53</v>
      </c>
      <c r="G2" s="28" t="s">
        <v>52</v>
      </c>
      <c r="I2" s="32"/>
      <c r="J2" s="32"/>
      <c r="K2" s="33" t="s">
        <v>55</v>
      </c>
      <c r="L2" s="222"/>
      <c r="M2" s="222"/>
      <c r="N2" s="222"/>
      <c r="O2" s="222"/>
      <c r="P2" s="222"/>
      <c r="Q2" s="222"/>
      <c r="R2" s="222"/>
      <c r="S2" s="222"/>
      <c r="T2" s="222"/>
      <c r="U2" s="222"/>
      <c r="V2"/>
      <c r="W2"/>
      <c r="X2"/>
      <c r="Y2"/>
      <c r="Z2"/>
      <c r="AA2"/>
      <c r="AB2"/>
      <c r="AC2"/>
    </row>
    <row r="3" spans="2:34" ht="16.5" x14ac:dyDescent="0.25">
      <c r="B3" s="5" t="s">
        <v>110</v>
      </c>
      <c r="D3" s="22" t="s">
        <v>109</v>
      </c>
      <c r="E3" s="22" t="s">
        <v>109</v>
      </c>
      <c r="F3" s="22"/>
      <c r="G3" s="41">
        <v>1</v>
      </c>
      <c r="I3" s="31" t="s">
        <v>56</v>
      </c>
      <c r="J3" s="33" t="s">
        <v>57</v>
      </c>
      <c r="K3" s="221" t="s">
        <v>109</v>
      </c>
      <c r="L3" s="221" t="s">
        <v>111</v>
      </c>
      <c r="M3" s="221" t="s">
        <v>119</v>
      </c>
      <c r="N3" s="221" t="s">
        <v>121</v>
      </c>
      <c r="O3" s="221" t="s">
        <v>113</v>
      </c>
      <c r="P3" s="221" t="s">
        <v>127</v>
      </c>
      <c r="Q3" s="221" t="s">
        <v>115</v>
      </c>
      <c r="R3" s="221" t="s">
        <v>125</v>
      </c>
      <c r="S3" s="221" t="s">
        <v>117</v>
      </c>
      <c r="T3" s="221" t="s">
        <v>123</v>
      </c>
      <c r="U3" s="221" t="s">
        <v>107</v>
      </c>
      <c r="V3"/>
      <c r="W3"/>
      <c r="X3"/>
      <c r="Y3"/>
      <c r="Z3"/>
      <c r="AA3"/>
      <c r="AB3"/>
      <c r="AC3"/>
      <c r="AD3"/>
      <c r="AE3"/>
      <c r="AF3"/>
      <c r="AG3"/>
      <c r="AH3"/>
    </row>
    <row r="4" spans="2:34" ht="16.5" x14ac:dyDescent="0.25">
      <c r="B4" s="2" t="s">
        <v>112</v>
      </c>
      <c r="D4" s="22" t="s">
        <v>111</v>
      </c>
      <c r="E4" s="22" t="s">
        <v>111</v>
      </c>
      <c r="F4" s="22"/>
      <c r="G4" s="25">
        <v>1</v>
      </c>
      <c r="I4" s="223" t="s">
        <v>109</v>
      </c>
      <c r="J4" s="221" t="s">
        <v>49</v>
      </c>
      <c r="K4" s="70">
        <v>1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/>
      <c r="W4"/>
      <c r="X4"/>
      <c r="Y4"/>
      <c r="Z4"/>
      <c r="AA4"/>
      <c r="AB4"/>
      <c r="AC4"/>
      <c r="AD4"/>
      <c r="AE4"/>
      <c r="AF4"/>
      <c r="AG4"/>
      <c r="AH4"/>
    </row>
    <row r="5" spans="2:34" ht="16.5" x14ac:dyDescent="0.25">
      <c r="B5" s="2" t="s">
        <v>114</v>
      </c>
      <c r="D5" s="22" t="s">
        <v>111</v>
      </c>
      <c r="E5" s="22" t="s">
        <v>119</v>
      </c>
      <c r="F5" s="22">
        <v>0</v>
      </c>
      <c r="G5" s="24"/>
      <c r="I5" s="224"/>
      <c r="J5" s="221" t="s">
        <v>48</v>
      </c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/>
      <c r="W5"/>
      <c r="X5"/>
      <c r="Y5"/>
      <c r="Z5"/>
      <c r="AA5"/>
      <c r="AB5"/>
      <c r="AC5"/>
      <c r="AD5"/>
      <c r="AE5"/>
      <c r="AF5"/>
      <c r="AG5"/>
      <c r="AH5"/>
    </row>
    <row r="6" spans="2:34" ht="16.5" x14ac:dyDescent="0.25">
      <c r="B6" s="2" t="s">
        <v>116</v>
      </c>
      <c r="D6" s="22" t="s">
        <v>111</v>
      </c>
      <c r="E6" s="22" t="s">
        <v>121</v>
      </c>
      <c r="F6" s="22">
        <v>0</v>
      </c>
      <c r="G6" s="24"/>
      <c r="I6" s="223" t="s">
        <v>111</v>
      </c>
      <c r="J6" s="221" t="s">
        <v>49</v>
      </c>
      <c r="K6" s="70"/>
      <c r="L6" s="70">
        <v>1</v>
      </c>
      <c r="M6" s="70"/>
      <c r="N6" s="70"/>
      <c r="O6" s="70"/>
      <c r="P6" s="70"/>
      <c r="Q6" s="70"/>
      <c r="R6" s="70"/>
      <c r="S6" s="70"/>
      <c r="T6" s="70"/>
      <c r="U6" s="70"/>
      <c r="V6"/>
      <c r="W6"/>
      <c r="X6"/>
      <c r="Y6"/>
      <c r="Z6"/>
      <c r="AA6"/>
      <c r="AB6"/>
      <c r="AC6"/>
    </row>
    <row r="7" spans="2:34" ht="16.5" x14ac:dyDescent="0.25">
      <c r="B7" s="2" t="s">
        <v>118</v>
      </c>
      <c r="D7" s="22" t="s">
        <v>113</v>
      </c>
      <c r="E7" s="22" t="s">
        <v>113</v>
      </c>
      <c r="F7" s="22"/>
      <c r="G7" s="25">
        <v>1</v>
      </c>
      <c r="I7" s="224"/>
      <c r="J7" s="221" t="s">
        <v>48</v>
      </c>
      <c r="K7" s="70"/>
      <c r="L7" s="70"/>
      <c r="M7" s="70">
        <v>0</v>
      </c>
      <c r="N7" s="70">
        <v>0</v>
      </c>
      <c r="O7" s="70"/>
      <c r="P7" s="70"/>
      <c r="Q7" s="70"/>
      <c r="R7" s="70"/>
      <c r="S7" s="70"/>
      <c r="T7" s="70"/>
      <c r="U7" s="70"/>
      <c r="V7"/>
      <c r="W7"/>
      <c r="X7"/>
      <c r="Y7"/>
      <c r="Z7"/>
      <c r="AA7"/>
      <c r="AB7"/>
      <c r="AC7"/>
    </row>
    <row r="8" spans="2:34" ht="16.5" x14ac:dyDescent="0.25">
      <c r="B8" s="2" t="s">
        <v>120</v>
      </c>
      <c r="D8" s="22" t="s">
        <v>113</v>
      </c>
      <c r="E8" s="22" t="s">
        <v>119</v>
      </c>
      <c r="F8" s="22">
        <v>0</v>
      </c>
      <c r="G8" s="24"/>
      <c r="I8" s="223" t="s">
        <v>113</v>
      </c>
      <c r="J8" s="221" t="s">
        <v>49</v>
      </c>
      <c r="K8" s="70"/>
      <c r="L8" s="70"/>
      <c r="M8" s="70"/>
      <c r="N8" s="70"/>
      <c r="O8" s="70">
        <v>1</v>
      </c>
      <c r="P8" s="70"/>
      <c r="Q8" s="70"/>
      <c r="R8" s="70"/>
      <c r="S8" s="70"/>
      <c r="T8" s="70"/>
      <c r="U8" s="70"/>
      <c r="V8"/>
      <c r="W8"/>
      <c r="X8"/>
      <c r="Y8"/>
      <c r="Z8"/>
      <c r="AA8"/>
      <c r="AB8"/>
      <c r="AC8"/>
    </row>
    <row r="9" spans="2:34" ht="16.5" x14ac:dyDescent="0.25">
      <c r="B9" s="5" t="s">
        <v>122</v>
      </c>
      <c r="D9" s="22" t="s">
        <v>113</v>
      </c>
      <c r="E9" s="22" t="s">
        <v>121</v>
      </c>
      <c r="F9" s="22">
        <v>0</v>
      </c>
      <c r="G9" s="24"/>
      <c r="I9" s="224"/>
      <c r="J9" s="221" t="s">
        <v>48</v>
      </c>
      <c r="K9" s="70"/>
      <c r="L9" s="70"/>
      <c r="M9" s="70">
        <v>0</v>
      </c>
      <c r="N9" s="70">
        <v>0</v>
      </c>
      <c r="O9" s="70"/>
      <c r="P9" s="70">
        <v>0</v>
      </c>
      <c r="Q9" s="70"/>
      <c r="R9" s="70"/>
      <c r="S9" s="70"/>
      <c r="T9" s="70"/>
      <c r="U9" s="70"/>
      <c r="V9"/>
      <c r="W9"/>
      <c r="X9"/>
      <c r="Y9"/>
      <c r="Z9"/>
      <c r="AA9"/>
      <c r="AB9"/>
      <c r="AC9"/>
    </row>
    <row r="10" spans="2:34" ht="16.5" x14ac:dyDescent="0.25">
      <c r="B10" s="5" t="s">
        <v>124</v>
      </c>
      <c r="D10" s="22" t="s">
        <v>113</v>
      </c>
      <c r="E10" s="22" t="s">
        <v>127</v>
      </c>
      <c r="F10" s="22">
        <v>0</v>
      </c>
      <c r="G10" s="24"/>
      <c r="I10" s="223" t="s">
        <v>115</v>
      </c>
      <c r="J10" s="221" t="s">
        <v>49</v>
      </c>
      <c r="K10" s="70"/>
      <c r="L10" s="70"/>
      <c r="M10" s="70"/>
      <c r="N10" s="70"/>
      <c r="O10" s="70"/>
      <c r="P10" s="70"/>
      <c r="Q10" s="70">
        <v>1</v>
      </c>
      <c r="R10" s="70"/>
      <c r="S10" s="70"/>
      <c r="T10" s="70"/>
      <c r="U10" s="70"/>
      <c r="V10"/>
      <c r="W10"/>
      <c r="X10"/>
      <c r="Y10"/>
      <c r="Z10"/>
      <c r="AA10"/>
      <c r="AB10"/>
      <c r="AC10"/>
    </row>
    <row r="11" spans="2:34" ht="16.5" x14ac:dyDescent="0.25">
      <c r="B11" s="5" t="s">
        <v>126</v>
      </c>
      <c r="D11" s="22" t="s">
        <v>115</v>
      </c>
      <c r="E11" s="22" t="s">
        <v>115</v>
      </c>
      <c r="F11" s="22"/>
      <c r="G11" s="25">
        <v>1</v>
      </c>
      <c r="I11" s="224"/>
      <c r="J11" s="221" t="s">
        <v>48</v>
      </c>
      <c r="K11" s="70"/>
      <c r="L11" s="70"/>
      <c r="M11" s="70"/>
      <c r="N11" s="70"/>
      <c r="O11" s="70"/>
      <c r="P11" s="70"/>
      <c r="Q11" s="70"/>
      <c r="R11" s="70">
        <v>0</v>
      </c>
      <c r="S11" s="70"/>
      <c r="T11" s="70"/>
      <c r="U11" s="70"/>
      <c r="V11"/>
      <c r="W11"/>
      <c r="X11"/>
      <c r="Y11"/>
      <c r="Z11"/>
      <c r="AA11"/>
      <c r="AB11"/>
      <c r="AC11"/>
    </row>
    <row r="12" spans="2:34" ht="16.5" x14ac:dyDescent="0.25">
      <c r="B12" s="5" t="s">
        <v>128</v>
      </c>
      <c r="D12" s="22" t="s">
        <v>115</v>
      </c>
      <c r="E12" s="22" t="s">
        <v>125</v>
      </c>
      <c r="F12" s="22">
        <v>0</v>
      </c>
      <c r="G12" s="24"/>
      <c r="I12" s="223" t="s">
        <v>117</v>
      </c>
      <c r="J12" s="221" t="s">
        <v>49</v>
      </c>
      <c r="K12" s="70"/>
      <c r="L12" s="70"/>
      <c r="M12" s="70"/>
      <c r="N12" s="70"/>
      <c r="O12" s="70"/>
      <c r="P12" s="70"/>
      <c r="Q12" s="70"/>
      <c r="R12" s="70"/>
      <c r="S12" s="70">
        <v>1</v>
      </c>
      <c r="T12" s="70"/>
      <c r="U12" s="70"/>
      <c r="V12"/>
      <c r="W12"/>
      <c r="X12"/>
      <c r="Y12"/>
      <c r="Z12"/>
      <c r="AA12"/>
      <c r="AB12"/>
      <c r="AC12"/>
    </row>
    <row r="13" spans="2:34" ht="16.5" x14ac:dyDescent="0.25">
      <c r="B13" s="5" t="s">
        <v>108</v>
      </c>
      <c r="D13" s="22" t="s">
        <v>117</v>
      </c>
      <c r="E13" s="22" t="s">
        <v>117</v>
      </c>
      <c r="F13" s="22"/>
      <c r="G13" s="25">
        <v>1</v>
      </c>
      <c r="I13" s="224"/>
      <c r="J13" s="221" t="s">
        <v>48</v>
      </c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/>
      <c r="W13"/>
      <c r="X13"/>
      <c r="Y13"/>
      <c r="Z13"/>
      <c r="AA13"/>
      <c r="AB13"/>
      <c r="AC13"/>
    </row>
    <row r="14" spans="2:34" ht="16.5" x14ac:dyDescent="0.25">
      <c r="D14" s="22" t="s">
        <v>119</v>
      </c>
      <c r="E14" s="22" t="s">
        <v>119</v>
      </c>
      <c r="F14" s="22"/>
      <c r="G14" s="25">
        <v>1</v>
      </c>
      <c r="I14" s="223" t="s">
        <v>119</v>
      </c>
      <c r="J14" s="221" t="s">
        <v>49</v>
      </c>
      <c r="K14" s="70"/>
      <c r="L14" s="70"/>
      <c r="M14" s="70">
        <v>1</v>
      </c>
      <c r="N14" s="70"/>
      <c r="O14" s="70"/>
      <c r="P14" s="70"/>
      <c r="Q14" s="70"/>
      <c r="R14" s="70"/>
      <c r="S14" s="70"/>
      <c r="T14" s="70"/>
      <c r="U14" s="70"/>
      <c r="V14"/>
      <c r="W14"/>
      <c r="X14"/>
      <c r="Y14"/>
      <c r="Z14"/>
      <c r="AA14"/>
      <c r="AB14"/>
      <c r="AC14"/>
    </row>
    <row r="15" spans="2:34" ht="16.5" x14ac:dyDescent="0.25">
      <c r="D15" s="22" t="s">
        <v>119</v>
      </c>
      <c r="E15" s="22" t="s">
        <v>127</v>
      </c>
      <c r="F15" s="22">
        <v>0</v>
      </c>
      <c r="G15" s="24"/>
      <c r="I15" s="224"/>
      <c r="J15" s="221" t="s">
        <v>48</v>
      </c>
      <c r="K15" s="70"/>
      <c r="L15" s="70"/>
      <c r="M15" s="70"/>
      <c r="N15" s="70"/>
      <c r="O15" s="70"/>
      <c r="P15" s="70">
        <v>0</v>
      </c>
      <c r="Q15" s="70"/>
      <c r="R15" s="70"/>
      <c r="S15" s="70"/>
      <c r="T15" s="70"/>
      <c r="U15" s="70"/>
      <c r="V15"/>
      <c r="W15"/>
      <c r="X15"/>
      <c r="Y15"/>
      <c r="Z15"/>
      <c r="AA15"/>
      <c r="AB15"/>
      <c r="AC15"/>
    </row>
    <row r="16" spans="2:34" ht="16.5" x14ac:dyDescent="0.25">
      <c r="D16" s="22" t="s">
        <v>121</v>
      </c>
      <c r="E16" s="22" t="s">
        <v>121</v>
      </c>
      <c r="F16" s="22"/>
      <c r="G16" s="25">
        <v>1</v>
      </c>
      <c r="I16" s="223" t="s">
        <v>121</v>
      </c>
      <c r="J16" s="221" t="s">
        <v>49</v>
      </c>
      <c r="K16" s="70"/>
      <c r="L16" s="70"/>
      <c r="M16" s="70"/>
      <c r="N16" s="70">
        <v>1</v>
      </c>
      <c r="O16" s="70"/>
      <c r="P16" s="70"/>
      <c r="Q16" s="70"/>
      <c r="R16" s="70"/>
      <c r="S16" s="70"/>
      <c r="T16" s="70"/>
      <c r="U16" s="70"/>
      <c r="V16"/>
      <c r="W16"/>
      <c r="X16"/>
      <c r="Y16"/>
      <c r="Z16"/>
      <c r="AA16"/>
      <c r="AB16"/>
      <c r="AC16"/>
    </row>
    <row r="17" spans="4:29" ht="16.5" x14ac:dyDescent="0.25">
      <c r="D17" s="22" t="s">
        <v>121</v>
      </c>
      <c r="E17" s="22" t="s">
        <v>127</v>
      </c>
      <c r="F17" s="22">
        <v>0</v>
      </c>
      <c r="G17" s="24"/>
      <c r="I17" s="224"/>
      <c r="J17" s="221" t="s">
        <v>48</v>
      </c>
      <c r="K17" s="70"/>
      <c r="L17" s="70"/>
      <c r="M17" s="70"/>
      <c r="N17" s="70"/>
      <c r="O17" s="70"/>
      <c r="P17" s="70">
        <v>0</v>
      </c>
      <c r="Q17" s="70"/>
      <c r="R17" s="70"/>
      <c r="S17" s="70"/>
      <c r="T17" s="70"/>
      <c r="U17" s="70"/>
      <c r="V17"/>
      <c r="W17"/>
      <c r="X17"/>
      <c r="Y17"/>
      <c r="Z17"/>
      <c r="AA17"/>
      <c r="AB17"/>
      <c r="AC17"/>
    </row>
    <row r="18" spans="4:29" ht="16.5" x14ac:dyDescent="0.25">
      <c r="D18" s="22" t="s">
        <v>123</v>
      </c>
      <c r="E18" s="22" t="s">
        <v>123</v>
      </c>
      <c r="F18" s="22"/>
      <c r="G18" s="25">
        <v>1</v>
      </c>
      <c r="I18" s="223" t="s">
        <v>123</v>
      </c>
      <c r="J18" s="221" t="s">
        <v>49</v>
      </c>
      <c r="K18" s="70"/>
      <c r="L18" s="70"/>
      <c r="M18" s="70"/>
      <c r="N18" s="70"/>
      <c r="O18" s="70"/>
      <c r="P18" s="70"/>
      <c r="Q18" s="70"/>
      <c r="R18" s="70"/>
      <c r="S18" s="70"/>
      <c r="T18" s="70">
        <v>1</v>
      </c>
      <c r="U18" s="70"/>
      <c r="V18"/>
      <c r="W18"/>
      <c r="X18"/>
      <c r="Y18"/>
      <c r="Z18"/>
      <c r="AA18"/>
      <c r="AB18"/>
      <c r="AC18"/>
    </row>
    <row r="19" spans="4:29" ht="16.5" x14ac:dyDescent="0.25">
      <c r="D19" s="22" t="s">
        <v>125</v>
      </c>
      <c r="E19" s="22" t="s">
        <v>125</v>
      </c>
      <c r="F19" s="22"/>
      <c r="G19" s="25">
        <v>1</v>
      </c>
      <c r="I19" s="224"/>
      <c r="J19" s="221" t="s">
        <v>48</v>
      </c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/>
      <c r="W19"/>
      <c r="X19"/>
      <c r="Y19"/>
      <c r="Z19"/>
      <c r="AA19"/>
      <c r="AB19"/>
      <c r="AC19"/>
    </row>
    <row r="20" spans="4:29" ht="16.5" x14ac:dyDescent="0.25">
      <c r="D20" s="22" t="s">
        <v>127</v>
      </c>
      <c r="E20" s="22" t="s">
        <v>127</v>
      </c>
      <c r="F20" s="22"/>
      <c r="G20" s="25">
        <v>1</v>
      </c>
      <c r="I20" s="223" t="s">
        <v>125</v>
      </c>
      <c r="J20" s="221" t="s">
        <v>49</v>
      </c>
      <c r="K20" s="70"/>
      <c r="L20" s="70"/>
      <c r="M20" s="70"/>
      <c r="N20" s="70"/>
      <c r="O20" s="70"/>
      <c r="P20" s="70"/>
      <c r="Q20" s="70"/>
      <c r="R20" s="70">
        <v>1</v>
      </c>
      <c r="S20" s="70"/>
      <c r="T20" s="70"/>
      <c r="U20" s="70"/>
      <c r="V20"/>
      <c r="W20"/>
      <c r="X20"/>
      <c r="Y20"/>
      <c r="Z20"/>
      <c r="AA20"/>
      <c r="AB20"/>
      <c r="AC20"/>
    </row>
    <row r="21" spans="4:29" ht="16.5" x14ac:dyDescent="0.25">
      <c r="D21" s="22" t="s">
        <v>107</v>
      </c>
      <c r="E21" s="22" t="s">
        <v>107</v>
      </c>
      <c r="F21" s="22"/>
      <c r="G21" s="25">
        <v>1</v>
      </c>
      <c r="I21" s="224"/>
      <c r="J21" s="221" t="s">
        <v>48</v>
      </c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/>
      <c r="W21"/>
      <c r="X21"/>
      <c r="Y21"/>
      <c r="Z21"/>
      <c r="AA21"/>
      <c r="AB21"/>
      <c r="AC21"/>
    </row>
    <row r="22" spans="4:29" ht="16.5" x14ac:dyDescent="0.25">
      <c r="I22" s="223" t="s">
        <v>127</v>
      </c>
      <c r="J22" s="221" t="s">
        <v>49</v>
      </c>
      <c r="K22" s="70"/>
      <c r="L22" s="70"/>
      <c r="M22" s="70"/>
      <c r="N22" s="70"/>
      <c r="O22" s="70"/>
      <c r="P22" s="70">
        <v>1</v>
      </c>
      <c r="Q22" s="70"/>
      <c r="R22" s="70"/>
      <c r="S22" s="70"/>
      <c r="T22" s="70"/>
      <c r="U22" s="70"/>
      <c r="V22"/>
      <c r="W22"/>
      <c r="X22"/>
      <c r="Y22"/>
      <c r="Z22"/>
      <c r="AA22"/>
      <c r="AB22"/>
      <c r="AC22"/>
    </row>
    <row r="23" spans="4:29" ht="15.75" x14ac:dyDescent="0.25">
      <c r="I23" s="224"/>
      <c r="J23" s="221" t="s">
        <v>48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</row>
    <row r="24" spans="4:29" ht="15.75" x14ac:dyDescent="0.25">
      <c r="I24" s="223" t="s">
        <v>107</v>
      </c>
      <c r="J24" s="221" t="s">
        <v>49</v>
      </c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>
        <v>1</v>
      </c>
    </row>
    <row r="25" spans="4:29" ht="15.75" x14ac:dyDescent="0.25">
      <c r="I25" s="224"/>
      <c r="J25" s="221" t="s">
        <v>48</v>
      </c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</row>
    <row r="26" spans="4:29" ht="16.5" x14ac:dyDescent="0.25">
      <c r="I26"/>
      <c r="J26"/>
      <c r="K26"/>
      <c r="L26"/>
      <c r="M26"/>
      <c r="N26"/>
      <c r="O26"/>
      <c r="P26"/>
      <c r="Q26"/>
      <c r="R26"/>
      <c r="S26"/>
    </row>
    <row r="27" spans="4:29" ht="16.5" x14ac:dyDescent="0.25">
      <c r="I27"/>
      <c r="J27"/>
      <c r="K27"/>
      <c r="L27"/>
      <c r="M27"/>
      <c r="N27"/>
      <c r="O27"/>
      <c r="P27"/>
      <c r="Q27"/>
      <c r="R27"/>
      <c r="S27"/>
    </row>
    <row r="28" spans="4:29" ht="16.5" x14ac:dyDescent="0.25">
      <c r="I28"/>
      <c r="J28"/>
      <c r="K28"/>
      <c r="L28"/>
      <c r="M28"/>
      <c r="N28"/>
      <c r="O28"/>
      <c r="P28"/>
      <c r="Q28"/>
      <c r="R28"/>
      <c r="S28"/>
    </row>
    <row r="29" spans="4:29" ht="16.5" x14ac:dyDescent="0.25">
      <c r="I29"/>
      <c r="J29"/>
      <c r="K29"/>
      <c r="L29"/>
      <c r="M29"/>
      <c r="N29"/>
      <c r="O29"/>
      <c r="P29"/>
      <c r="Q29"/>
      <c r="R29"/>
      <c r="S29"/>
    </row>
    <row r="30" spans="4:29" ht="16.5" x14ac:dyDescent="0.25">
      <c r="I30"/>
      <c r="J30"/>
      <c r="K30"/>
      <c r="L30"/>
      <c r="M30"/>
      <c r="N30"/>
      <c r="O30"/>
      <c r="P30"/>
      <c r="Q30"/>
      <c r="R30"/>
    </row>
    <row r="31" spans="4:29" ht="16.5" x14ac:dyDescent="0.25">
      <c r="I31"/>
      <c r="J31"/>
      <c r="K31"/>
      <c r="L31"/>
      <c r="M31"/>
      <c r="N31"/>
      <c r="O31"/>
      <c r="P31"/>
      <c r="Q31"/>
      <c r="R31"/>
    </row>
    <row r="32" spans="4:29" ht="16.5" x14ac:dyDescent="0.25">
      <c r="I32"/>
      <c r="J32"/>
      <c r="K32"/>
      <c r="L32"/>
      <c r="M32"/>
      <c r="N32"/>
      <c r="O32"/>
      <c r="P32"/>
      <c r="Q32"/>
      <c r="R32"/>
    </row>
    <row r="33" spans="9:18" ht="16.5" x14ac:dyDescent="0.25">
      <c r="I33"/>
      <c r="J33"/>
      <c r="K33"/>
      <c r="L33"/>
      <c r="M33"/>
      <c r="N33"/>
      <c r="O33"/>
      <c r="P33"/>
      <c r="Q33"/>
      <c r="R33"/>
    </row>
    <row r="34" spans="9:18" ht="16.5" x14ac:dyDescent="0.25">
      <c r="I34"/>
      <c r="J34"/>
      <c r="K34"/>
      <c r="L34"/>
      <c r="M34"/>
      <c r="N34"/>
      <c r="O34"/>
      <c r="P34"/>
      <c r="Q34"/>
      <c r="R34"/>
    </row>
    <row r="35" spans="9:18" ht="16.5" x14ac:dyDescent="0.25">
      <c r="I35"/>
      <c r="J35"/>
      <c r="K35"/>
      <c r="L35"/>
      <c r="M35"/>
      <c r="N35"/>
      <c r="O35"/>
      <c r="P35"/>
      <c r="Q35"/>
      <c r="R35"/>
    </row>
    <row r="36" spans="9:18" ht="16.5" x14ac:dyDescent="0.25">
      <c r="I36"/>
      <c r="J36"/>
      <c r="K36"/>
      <c r="L36"/>
      <c r="M36"/>
      <c r="N36"/>
      <c r="O36"/>
      <c r="P36"/>
      <c r="Q36"/>
      <c r="R36"/>
    </row>
    <row r="37" spans="9:18" ht="16.5" x14ac:dyDescent="0.25">
      <c r="I37"/>
      <c r="J37"/>
      <c r="K37"/>
      <c r="L37"/>
      <c r="M37"/>
      <c r="N37"/>
      <c r="O37"/>
      <c r="P37"/>
      <c r="Q37"/>
      <c r="R37"/>
    </row>
    <row r="38" spans="9:18" ht="16.5" x14ac:dyDescent="0.25">
      <c r="I38"/>
      <c r="J38"/>
      <c r="K38"/>
      <c r="L38"/>
      <c r="M38"/>
      <c r="N38"/>
      <c r="O38"/>
      <c r="P38"/>
      <c r="Q38"/>
      <c r="R38"/>
    </row>
  </sheetData>
  <mergeCells count="11"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I22:I23"/>
    <mergeCell ref="I24:I25"/>
  </mergeCells>
  <phoneticPr fontId="2" type="noConversion"/>
  <dataValidations count="3">
    <dataValidation type="list" allowBlank="1" showInputMessage="1" showErrorMessage="1" sqref="D3:D21">
      <formula1>狀態</formula1>
    </dataValidation>
    <dataValidation type="list" allowBlank="1" showInputMessage="1" showErrorMessage="1" sqref="E3:E21">
      <formula1>$B$3:$B$13</formula1>
    </dataValidation>
    <dataValidation type="list" allowBlank="1" showInputMessage="1" showErrorMessage="1" sqref="F3:G21">
      <formula1>"0,1"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outlinePr summaryBelow="0" summaryRight="0"/>
  </sheetPr>
  <dimension ref="A1:AC23"/>
  <sheetViews>
    <sheetView workbookViewId="0">
      <selection activeCell="G26" sqref="G26"/>
    </sheetView>
  </sheetViews>
  <sheetFormatPr defaultRowHeight="16.5" outlineLevelCol="1" x14ac:dyDescent="0.25"/>
  <cols>
    <col min="1" max="1" width="1.25" style="7" customWidth="1"/>
    <col min="2" max="3" width="9.5" style="39" customWidth="1"/>
    <col min="4" max="4" width="8.25" style="39" customWidth="1"/>
    <col min="5" max="5" width="8.25" style="39" customWidth="1" outlineLevel="1"/>
    <col min="6" max="16" width="4.5" style="38" customWidth="1" outlineLevel="1"/>
    <col min="17" max="17" width="8.25" style="39" customWidth="1"/>
    <col min="18" max="18" width="8.25" style="39" customWidth="1" outlineLevel="1"/>
    <col min="19" max="29" width="4.5" style="38" customWidth="1" outlineLevel="1"/>
  </cols>
  <sheetData>
    <row r="1" spans="1:29" x14ac:dyDescent="0.25">
      <c r="A1" s="9"/>
      <c r="B1" s="37" t="s">
        <v>58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s="34" customFormat="1" ht="45.75" customHeight="1" x14ac:dyDescent="0.25">
      <c r="A2" s="36"/>
      <c r="B2" s="35" t="s">
        <v>61</v>
      </c>
      <c r="C2" s="35" t="s">
        <v>59</v>
      </c>
      <c r="D2" s="35" t="s">
        <v>76</v>
      </c>
      <c r="E2" s="35" t="s">
        <v>78</v>
      </c>
      <c r="F2" s="35" t="s">
        <v>83</v>
      </c>
      <c r="G2" s="35" t="s">
        <v>84</v>
      </c>
      <c r="H2" s="35" t="s">
        <v>85</v>
      </c>
      <c r="I2" s="35" t="s">
        <v>86</v>
      </c>
      <c r="J2" s="35" t="s">
        <v>87</v>
      </c>
      <c r="K2" s="35" t="s">
        <v>88</v>
      </c>
      <c r="L2" s="35" t="s">
        <v>89</v>
      </c>
      <c r="M2" s="35" t="s">
        <v>90</v>
      </c>
      <c r="N2" s="35" t="s">
        <v>91</v>
      </c>
      <c r="O2" s="35" t="s">
        <v>92</v>
      </c>
      <c r="P2" s="35" t="s">
        <v>103</v>
      </c>
      <c r="Q2" s="35" t="s">
        <v>80</v>
      </c>
      <c r="R2" s="35" t="s">
        <v>82</v>
      </c>
      <c r="S2" s="35" t="s">
        <v>93</v>
      </c>
      <c r="T2" s="35" t="s">
        <v>94</v>
      </c>
      <c r="U2" s="35" t="s">
        <v>95</v>
      </c>
      <c r="V2" s="35" t="s">
        <v>96</v>
      </c>
      <c r="W2" s="35" t="s">
        <v>97</v>
      </c>
      <c r="X2" s="35" t="s">
        <v>98</v>
      </c>
      <c r="Y2" s="35" t="s">
        <v>99</v>
      </c>
      <c r="Z2" s="35" t="s">
        <v>100</v>
      </c>
      <c r="AA2" s="35" t="s">
        <v>101</v>
      </c>
      <c r="AB2" s="35" t="s">
        <v>102</v>
      </c>
      <c r="AC2" s="35" t="s">
        <v>104</v>
      </c>
    </row>
    <row r="3" spans="1:29" x14ac:dyDescent="0.25">
      <c r="B3"/>
      <c r="C3" t="s">
        <v>64</v>
      </c>
      <c r="D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3"/>
      <c r="G3"/>
      <c r="H3"/>
      <c r="I3"/>
      <c r="J3"/>
      <c r="K3"/>
      <c r="L3"/>
      <c r="M3"/>
      <c r="N3"/>
      <c r="O3"/>
      <c r="P3"/>
      <c r="Q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3"/>
      <c r="T3"/>
      <c r="U3"/>
      <c r="V3"/>
      <c r="W3"/>
      <c r="X3"/>
      <c r="Y3"/>
      <c r="Z3"/>
      <c r="AA3"/>
      <c r="AB3"/>
      <c r="AC3"/>
    </row>
    <row r="4" spans="1:29" x14ac:dyDescent="0.25">
      <c r="B4" t="s">
        <v>62</v>
      </c>
      <c r="C4" t="s">
        <v>5</v>
      </c>
      <c r="D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4"/>
      <c r="G4"/>
      <c r="H4"/>
      <c r="I4"/>
      <c r="J4"/>
      <c r="K4"/>
      <c r="L4"/>
      <c r="M4"/>
      <c r="N4"/>
      <c r="O4"/>
      <c r="P4"/>
      <c r="Q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4"/>
      <c r="T4"/>
      <c r="U4"/>
      <c r="V4"/>
      <c r="W4"/>
      <c r="X4"/>
      <c r="Y4"/>
      <c r="Z4"/>
      <c r="AA4"/>
      <c r="AB4"/>
      <c r="AC4"/>
    </row>
    <row r="5" spans="1:29" x14ac:dyDescent="0.25">
      <c r="B5"/>
      <c r="C5" t="s">
        <v>3</v>
      </c>
      <c r="D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5"/>
      <c r="G5"/>
      <c r="H5"/>
      <c r="I5"/>
      <c r="J5"/>
      <c r="K5"/>
      <c r="L5"/>
      <c r="M5"/>
      <c r="N5"/>
      <c r="O5"/>
      <c r="P5"/>
      <c r="Q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5"/>
      <c r="T5"/>
      <c r="U5"/>
      <c r="V5"/>
      <c r="W5"/>
      <c r="X5"/>
      <c r="Y5"/>
      <c r="Z5"/>
      <c r="AA5"/>
      <c r="AB5"/>
      <c r="AC5"/>
    </row>
    <row r="6" spans="1:29" x14ac:dyDescent="0.25">
      <c r="B6"/>
      <c r="C6" t="s">
        <v>0</v>
      </c>
      <c r="D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6"/>
      <c r="G6"/>
      <c r="H6"/>
      <c r="I6"/>
      <c r="J6"/>
      <c r="K6"/>
      <c r="L6"/>
      <c r="M6"/>
      <c r="N6"/>
      <c r="O6"/>
      <c r="P6"/>
      <c r="Q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6"/>
      <c r="T6"/>
      <c r="U6"/>
      <c r="V6"/>
      <c r="W6"/>
      <c r="X6"/>
      <c r="Y6"/>
      <c r="Z6"/>
      <c r="AA6"/>
      <c r="AB6"/>
      <c r="AC6"/>
    </row>
    <row r="7" spans="1:29" x14ac:dyDescent="0.25">
      <c r="B7"/>
      <c r="C7" t="s">
        <v>6</v>
      </c>
      <c r="D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7"/>
      <c r="G7"/>
      <c r="H7"/>
      <c r="I7"/>
      <c r="J7"/>
      <c r="K7"/>
      <c r="L7"/>
      <c r="M7"/>
      <c r="N7"/>
      <c r="O7"/>
      <c r="P7"/>
      <c r="Q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7"/>
      <c r="T7"/>
      <c r="U7"/>
      <c r="V7"/>
      <c r="W7"/>
      <c r="X7"/>
      <c r="Y7"/>
      <c r="Z7"/>
      <c r="AA7"/>
      <c r="AB7"/>
      <c r="AC7"/>
    </row>
    <row r="8" spans="1:29" x14ac:dyDescent="0.25">
      <c r="B8"/>
      <c r="C8" t="s">
        <v>8</v>
      </c>
      <c r="D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8"/>
      <c r="G8"/>
      <c r="H8"/>
      <c r="I8"/>
      <c r="J8"/>
      <c r="K8"/>
      <c r="L8"/>
      <c r="M8"/>
      <c r="N8"/>
      <c r="O8"/>
      <c r="P8"/>
      <c r="Q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8"/>
      <c r="T8"/>
      <c r="U8"/>
      <c r="V8"/>
      <c r="W8"/>
      <c r="X8"/>
      <c r="Y8"/>
      <c r="Z8"/>
      <c r="AA8"/>
      <c r="AB8"/>
      <c r="AC8"/>
    </row>
    <row r="9" spans="1:29" x14ac:dyDescent="0.25">
      <c r="B9"/>
      <c r="C9" t="s">
        <v>10</v>
      </c>
      <c r="D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9"/>
      <c r="G9"/>
      <c r="H9"/>
      <c r="I9"/>
      <c r="J9"/>
      <c r="K9"/>
      <c r="L9"/>
      <c r="M9"/>
      <c r="N9"/>
      <c r="O9"/>
      <c r="P9"/>
      <c r="Q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9"/>
      <c r="T9"/>
      <c r="U9"/>
      <c r="V9"/>
      <c r="W9"/>
      <c r="X9"/>
      <c r="Y9"/>
      <c r="Z9"/>
      <c r="AA9"/>
      <c r="AB9"/>
      <c r="AC9"/>
    </row>
    <row r="10" spans="1:29" x14ac:dyDescent="0.25">
      <c r="B10"/>
      <c r="C10" t="s">
        <v>12</v>
      </c>
      <c r="D1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0"/>
      <c r="G10"/>
      <c r="H10"/>
      <c r="I10"/>
      <c r="J10"/>
      <c r="K10"/>
      <c r="L10"/>
      <c r="M10"/>
      <c r="N10"/>
      <c r="O10"/>
      <c r="P10"/>
      <c r="Q1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B11"/>
      <c r="C11" t="s">
        <v>14</v>
      </c>
      <c r="D1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1"/>
      <c r="G11"/>
      <c r="H11"/>
      <c r="I11"/>
      <c r="J11"/>
      <c r="K11"/>
      <c r="L11"/>
      <c r="M11"/>
      <c r="N11"/>
      <c r="O11"/>
      <c r="P11"/>
      <c r="Q1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B12" t="s">
        <v>60</v>
      </c>
      <c r="C12" t="s">
        <v>16</v>
      </c>
      <c r="D1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2"/>
      <c r="G12"/>
      <c r="H12"/>
      <c r="I12"/>
      <c r="J12"/>
      <c r="K12"/>
      <c r="L12"/>
      <c r="M12"/>
      <c r="N12"/>
      <c r="O12"/>
      <c r="P12"/>
      <c r="Q1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B13"/>
      <c r="C13" t="s">
        <v>18</v>
      </c>
      <c r="D1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3"/>
      <c r="G13"/>
      <c r="H13"/>
      <c r="I13"/>
      <c r="J13"/>
      <c r="K13"/>
      <c r="L13"/>
      <c r="M13"/>
      <c r="N13"/>
      <c r="O13"/>
      <c r="P13"/>
      <c r="Q1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B14" t="s">
        <v>63</v>
      </c>
      <c r="C14" t="s">
        <v>64</v>
      </c>
      <c r="D1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</v>
      </c>
      <c r="E1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</v>
      </c>
      <c r="F14">
        <v>1</v>
      </c>
      <c r="G14"/>
      <c r="H14"/>
      <c r="I14"/>
      <c r="J14"/>
      <c r="K14"/>
      <c r="L14"/>
      <c r="M14"/>
      <c r="N14"/>
      <c r="O14"/>
      <c r="P14"/>
      <c r="Q1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1</v>
      </c>
      <c r="S14">
        <v>0</v>
      </c>
      <c r="T14"/>
      <c r="U14"/>
      <c r="V14"/>
      <c r="W14"/>
      <c r="X14"/>
      <c r="Y14"/>
      <c r="Z14"/>
      <c r="AA14"/>
      <c r="AB14"/>
      <c r="AC14"/>
    </row>
    <row r="15" spans="1:29" x14ac:dyDescent="0.25">
      <c r="B15" t="s">
        <v>106</v>
      </c>
      <c r="C15" t="s">
        <v>64</v>
      </c>
      <c r="D1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</v>
      </c>
      <c r="E1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</v>
      </c>
      <c r="F15"/>
      <c r="G15">
        <v>1</v>
      </c>
      <c r="H15"/>
      <c r="I15"/>
      <c r="J15"/>
      <c r="K15"/>
      <c r="L15"/>
      <c r="M15"/>
      <c r="N15"/>
      <c r="O15"/>
      <c r="P15"/>
      <c r="Q1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B16" t="s">
        <v>105</v>
      </c>
      <c r="C16" t="s">
        <v>64</v>
      </c>
      <c r="D1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6"/>
      <c r="G16"/>
      <c r="H16"/>
      <c r="I16"/>
      <c r="J16"/>
      <c r="K16"/>
      <c r="L16"/>
      <c r="M16"/>
      <c r="N16"/>
      <c r="O16"/>
      <c r="P16"/>
      <c r="Q1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1063</v>
      </c>
      <c r="R1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2047</v>
      </c>
      <c r="S16">
        <v>1</v>
      </c>
      <c r="T16">
        <v>1</v>
      </c>
      <c r="U16">
        <v>1</v>
      </c>
      <c r="V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C16">
        <v>1</v>
      </c>
    </row>
    <row r="17" spans="2:29" x14ac:dyDescent="0.25">
      <c r="B17" t="s">
        <v>65</v>
      </c>
      <c r="C17" t="s">
        <v>64</v>
      </c>
      <c r="D1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3</v>
      </c>
      <c r="E1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3</v>
      </c>
      <c r="F17">
        <v>1</v>
      </c>
      <c r="G17">
        <v>1</v>
      </c>
      <c r="H17"/>
      <c r="I17"/>
      <c r="J17"/>
      <c r="K17"/>
      <c r="L17"/>
      <c r="M17"/>
      <c r="N17"/>
      <c r="O17"/>
      <c r="P17"/>
      <c r="Q1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</v>
      </c>
      <c r="S17"/>
      <c r="T17">
        <v>0</v>
      </c>
      <c r="U17"/>
      <c r="V17"/>
      <c r="W17"/>
      <c r="X17"/>
      <c r="Y17"/>
      <c r="Z17"/>
      <c r="AA17"/>
      <c r="AB17"/>
      <c r="AC17"/>
    </row>
    <row r="18" spans="2:29" x14ac:dyDescent="0.25">
      <c r="B18" t="s">
        <v>73</v>
      </c>
      <c r="C18" t="s">
        <v>64</v>
      </c>
      <c r="D1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4</v>
      </c>
      <c r="E1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4</v>
      </c>
      <c r="F18"/>
      <c r="G18"/>
      <c r="H18">
        <v>1</v>
      </c>
      <c r="I18"/>
      <c r="J18"/>
      <c r="K18"/>
      <c r="L18"/>
      <c r="M18"/>
      <c r="N18"/>
      <c r="O18"/>
      <c r="P18"/>
      <c r="Q1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8"/>
      <c r="T18"/>
      <c r="U18"/>
      <c r="V18"/>
      <c r="W18"/>
      <c r="X18"/>
      <c r="Y18"/>
      <c r="Z18"/>
      <c r="AA18"/>
      <c r="AB18"/>
      <c r="AC18"/>
    </row>
    <row r="19" spans="2:29" x14ac:dyDescent="0.25">
      <c r="B19" t="s">
        <v>71</v>
      </c>
      <c r="C19" t="s">
        <v>64</v>
      </c>
      <c r="D1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16</v>
      </c>
      <c r="E1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16</v>
      </c>
      <c r="F19"/>
      <c r="G19"/>
      <c r="H19"/>
      <c r="I19"/>
      <c r="J19">
        <v>1</v>
      </c>
      <c r="K19"/>
      <c r="L19"/>
      <c r="M19"/>
      <c r="N19"/>
      <c r="O19"/>
      <c r="P19"/>
      <c r="Q1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9"/>
      <c r="T19"/>
      <c r="U19"/>
      <c r="V19"/>
      <c r="W19"/>
      <c r="X19"/>
      <c r="Y19"/>
      <c r="Z19"/>
      <c r="AA19"/>
      <c r="AB19"/>
      <c r="AC19"/>
    </row>
    <row r="20" spans="2:29" x14ac:dyDescent="0.25">
      <c r="B20" t="s">
        <v>72</v>
      </c>
      <c r="C20" t="s">
        <v>64</v>
      </c>
      <c r="D2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2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20"/>
      <c r="G20"/>
      <c r="H20"/>
      <c r="I20"/>
      <c r="J20"/>
      <c r="K20"/>
      <c r="L20"/>
      <c r="M20"/>
      <c r="N20"/>
      <c r="O20"/>
      <c r="P20"/>
      <c r="Q2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0"/>
      <c r="T20"/>
      <c r="U20"/>
      <c r="V20"/>
      <c r="W20"/>
      <c r="X20"/>
      <c r="Y20"/>
      <c r="Z20"/>
      <c r="AA20"/>
      <c r="AB20"/>
      <c r="AC20"/>
    </row>
    <row r="21" spans="2:29" x14ac:dyDescent="0.25">
      <c r="B21" t="s">
        <v>70</v>
      </c>
      <c r="C21" t="s">
        <v>64</v>
      </c>
      <c r="D2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64</v>
      </c>
      <c r="E2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64</v>
      </c>
      <c r="F21"/>
      <c r="G21"/>
      <c r="H21"/>
      <c r="I21"/>
      <c r="J21"/>
      <c r="K21"/>
      <c r="L21">
        <v>1</v>
      </c>
      <c r="M21"/>
      <c r="N21"/>
      <c r="O21"/>
      <c r="P21"/>
      <c r="Q2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1"/>
      <c r="T21"/>
      <c r="U21"/>
      <c r="V21"/>
      <c r="W21"/>
      <c r="X21"/>
      <c r="Y21"/>
      <c r="Z21"/>
      <c r="AA21"/>
      <c r="AB21"/>
      <c r="AC21"/>
    </row>
    <row r="22" spans="2:29" x14ac:dyDescent="0.25">
      <c r="B22" t="s">
        <v>67</v>
      </c>
      <c r="C22" t="s">
        <v>64</v>
      </c>
      <c r="D2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256</v>
      </c>
      <c r="E2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256</v>
      </c>
      <c r="F22"/>
      <c r="G22"/>
      <c r="H22"/>
      <c r="I22"/>
      <c r="J22"/>
      <c r="K22"/>
      <c r="L22"/>
      <c r="M22"/>
      <c r="N22">
        <v>1</v>
      </c>
      <c r="O22"/>
      <c r="P22"/>
      <c r="Q2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2"/>
      <c r="T22"/>
      <c r="U22"/>
      <c r="V22"/>
      <c r="W22"/>
      <c r="X22"/>
      <c r="Y22"/>
      <c r="Z22"/>
      <c r="AA22"/>
      <c r="AB22"/>
      <c r="AC22"/>
    </row>
    <row r="23" spans="2:29" x14ac:dyDescent="0.25">
      <c r="B23" t="s">
        <v>68</v>
      </c>
      <c r="C23" t="s">
        <v>64</v>
      </c>
      <c r="D2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512</v>
      </c>
      <c r="E2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512</v>
      </c>
      <c r="F23"/>
      <c r="G23"/>
      <c r="H23"/>
      <c r="I23"/>
      <c r="J23"/>
      <c r="K23"/>
      <c r="L23"/>
      <c r="M23"/>
      <c r="N23"/>
      <c r="O23">
        <v>1</v>
      </c>
      <c r="P23"/>
      <c r="Q2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3"/>
      <c r="T23"/>
      <c r="U23"/>
      <c r="V23"/>
      <c r="W23"/>
      <c r="X23"/>
      <c r="Y23"/>
      <c r="Z23"/>
      <c r="AA23"/>
      <c r="AB23"/>
      <c r="AC23"/>
    </row>
  </sheetData>
  <phoneticPr fontId="2" type="noConversion"/>
  <dataValidations count="3">
    <dataValidation type="list" allowBlank="1" showInputMessage="1" showErrorMessage="1" sqref="C3:C23">
      <formula1>硬度</formula1>
    </dataValidation>
    <dataValidation type="list" allowBlank="1" showInputMessage="1" showErrorMessage="1" sqref="F3:F23 H3:P23 G3:G14 G16:G23">
      <formula1>""""",0,1"</formula1>
    </dataValidation>
    <dataValidation type="list" allowBlank="1" showInputMessage="1" showErrorMessage="1" sqref="G15">
      <formula1>"0,1,,"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W35"/>
  <sheetViews>
    <sheetView workbookViewId="0">
      <selection activeCell="G29" sqref="G29"/>
    </sheetView>
  </sheetViews>
  <sheetFormatPr defaultRowHeight="15.75" x14ac:dyDescent="0.25"/>
  <cols>
    <col min="1" max="1" width="1.25" style="43" customWidth="1"/>
    <col min="2" max="2" width="3.375" style="42" customWidth="1"/>
    <col min="3" max="3" width="8.25" style="42" customWidth="1"/>
    <col min="4" max="7" width="10.25" style="42" customWidth="1"/>
    <col min="8" max="8" width="3.375" style="42" customWidth="1"/>
    <col min="9" max="9" width="1.25" style="43" customWidth="1"/>
    <col min="10" max="10" width="7.125" style="43" customWidth="1"/>
    <col min="11" max="20" width="8.75" style="43" customWidth="1"/>
    <col min="21" max="21" width="8.75" style="42" customWidth="1"/>
    <col min="22" max="23" width="8.75" style="43" customWidth="1"/>
    <col min="24" max="16384" width="9" style="43"/>
  </cols>
  <sheetData>
    <row r="1" spans="2:23" ht="16.5" x14ac:dyDescent="0.25">
      <c r="B1" s="80"/>
      <c r="C1" s="80"/>
      <c r="D1" s="98" t="s">
        <v>226</v>
      </c>
      <c r="E1" s="98" t="s">
        <v>225</v>
      </c>
      <c r="F1" s="98" t="s">
        <v>228</v>
      </c>
      <c r="G1" s="98" t="s">
        <v>227</v>
      </c>
      <c r="H1" s="80"/>
      <c r="M1" s="43" t="s">
        <v>134</v>
      </c>
      <c r="N1" s="43" t="s">
        <v>150</v>
      </c>
      <c r="O1" s="43" t="s">
        <v>151</v>
      </c>
      <c r="P1" s="43" t="s">
        <v>152</v>
      </c>
      <c r="Q1" s="43" t="s">
        <v>69</v>
      </c>
      <c r="R1" s="43" t="s">
        <v>132</v>
      </c>
      <c r="U1" s="42" t="s">
        <v>66</v>
      </c>
      <c r="V1" s="43" t="s">
        <v>144</v>
      </c>
      <c r="W1" s="43" t="s">
        <v>135</v>
      </c>
    </row>
    <row r="2" spans="2:23" ht="16.5" x14ac:dyDescent="0.25">
      <c r="B2" s="80"/>
      <c r="C2" s="80"/>
      <c r="D2" s="97" t="s">
        <v>204</v>
      </c>
      <c r="E2" s="97" t="s">
        <v>204</v>
      </c>
      <c r="F2" s="94" t="s">
        <v>201</v>
      </c>
      <c r="G2" s="94" t="s">
        <v>201</v>
      </c>
      <c r="H2" s="80"/>
      <c r="J2" s="44" t="s">
        <v>153</v>
      </c>
      <c r="K2" s="44" t="s">
        <v>154</v>
      </c>
      <c r="L2" s="44" t="s">
        <v>155</v>
      </c>
      <c r="M2" s="44" t="s">
        <v>156</v>
      </c>
      <c r="N2" s="44" t="s">
        <v>157</v>
      </c>
      <c r="O2" s="44" t="s">
        <v>158</v>
      </c>
      <c r="P2" s="44" t="s">
        <v>159</v>
      </c>
      <c r="Q2" s="44" t="s">
        <v>160</v>
      </c>
      <c r="R2" s="44" t="s">
        <v>161</v>
      </c>
      <c r="S2" s="44" t="s">
        <v>162</v>
      </c>
      <c r="T2" s="44" t="s">
        <v>163</v>
      </c>
      <c r="U2" s="44" t="s">
        <v>164</v>
      </c>
      <c r="V2" s="44" t="s">
        <v>165</v>
      </c>
      <c r="W2" s="44" t="s">
        <v>166</v>
      </c>
    </row>
    <row r="3" spans="2:23" ht="16.5" x14ac:dyDescent="0.25">
      <c r="B3" s="80"/>
      <c r="C3" s="80"/>
      <c r="D3" s="96" t="s">
        <v>203</v>
      </c>
      <c r="E3" s="95" t="s">
        <v>202</v>
      </c>
      <c r="F3" s="96" t="s">
        <v>203</v>
      </c>
      <c r="G3" s="95" t="s">
        <v>202</v>
      </c>
      <c r="H3" s="80"/>
      <c r="J3" s="58" t="s">
        <v>167</v>
      </c>
      <c r="K3" s="45" t="s">
        <v>109</v>
      </c>
      <c r="L3" s="46" t="s">
        <v>109</v>
      </c>
      <c r="M3" s="46"/>
      <c r="N3" s="46"/>
      <c r="O3" s="46" t="s">
        <v>133</v>
      </c>
      <c r="P3" s="46"/>
      <c r="Q3" s="46"/>
      <c r="R3" s="46"/>
      <c r="S3" s="46"/>
      <c r="T3" s="46"/>
      <c r="U3" s="47"/>
      <c r="V3" s="46"/>
      <c r="W3" s="46"/>
    </row>
    <row r="4" spans="2:23" x14ac:dyDescent="0.25">
      <c r="B4" s="80"/>
      <c r="C4" s="79"/>
      <c r="D4" s="72" t="s">
        <v>186</v>
      </c>
      <c r="E4" s="72" t="s">
        <v>185</v>
      </c>
      <c r="F4" s="72" t="s">
        <v>184</v>
      </c>
      <c r="G4" s="72" t="s">
        <v>183</v>
      </c>
      <c r="H4" s="80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9"/>
      <c r="V4" s="48"/>
      <c r="W4" s="48"/>
    </row>
    <row r="5" spans="2:23" ht="16.5" x14ac:dyDescent="0.25">
      <c r="B5" s="81">
        <v>0</v>
      </c>
      <c r="C5" s="72" t="s">
        <v>241</v>
      </c>
      <c r="D5" s="102" t="s">
        <v>229</v>
      </c>
      <c r="E5" s="105" t="s">
        <v>233</v>
      </c>
      <c r="F5" s="106" t="s">
        <v>234</v>
      </c>
      <c r="G5" s="112" t="s">
        <v>223</v>
      </c>
      <c r="H5" s="81"/>
      <c r="J5" s="46" t="s">
        <v>129</v>
      </c>
      <c r="K5" s="45" t="s">
        <v>111</v>
      </c>
      <c r="L5" s="46" t="s">
        <v>111</v>
      </c>
      <c r="M5" s="46"/>
      <c r="N5" s="46"/>
      <c r="O5" s="53" t="s">
        <v>168</v>
      </c>
      <c r="P5" s="59" t="s">
        <v>169</v>
      </c>
      <c r="Q5" s="46"/>
      <c r="R5" s="46"/>
      <c r="S5" s="46"/>
      <c r="T5" s="46"/>
      <c r="U5" s="47"/>
      <c r="V5" s="46"/>
      <c r="W5" s="46"/>
    </row>
    <row r="6" spans="2:23" x14ac:dyDescent="0.25">
      <c r="B6" s="81">
        <v>16</v>
      </c>
      <c r="C6" s="72" t="s">
        <v>244</v>
      </c>
      <c r="D6" s="103" t="s">
        <v>230</v>
      </c>
      <c r="E6" s="71" t="s">
        <v>219</v>
      </c>
      <c r="F6" s="113" t="s">
        <v>236</v>
      </c>
      <c r="G6" s="109" t="s">
        <v>238</v>
      </c>
      <c r="H6" s="81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/>
      <c r="V6" s="48"/>
      <c r="W6" s="48"/>
    </row>
    <row r="7" spans="2:23" ht="16.5" x14ac:dyDescent="0.25">
      <c r="B7" s="81">
        <v>32</v>
      </c>
      <c r="C7" s="72" t="s">
        <v>243</v>
      </c>
      <c r="D7" s="104" t="s">
        <v>231</v>
      </c>
      <c r="E7" s="114" t="s">
        <v>221</v>
      </c>
      <c r="F7" s="117" t="s">
        <v>235</v>
      </c>
      <c r="G7" s="110" t="s">
        <v>239</v>
      </c>
      <c r="H7" s="81"/>
      <c r="J7" s="46" t="s">
        <v>170</v>
      </c>
      <c r="K7" s="45" t="s">
        <v>136</v>
      </c>
      <c r="L7" s="46" t="s">
        <v>171</v>
      </c>
      <c r="M7" s="46"/>
      <c r="N7" s="46"/>
      <c r="O7" s="53" t="s">
        <v>168</v>
      </c>
      <c r="P7" s="46"/>
      <c r="Q7" s="46"/>
      <c r="R7" s="46"/>
      <c r="S7" s="46"/>
      <c r="T7" s="46"/>
      <c r="U7" s="47"/>
      <c r="V7" s="60" t="s">
        <v>172</v>
      </c>
      <c r="W7" s="46"/>
    </row>
    <row r="8" spans="2:23" x14ac:dyDescent="0.25">
      <c r="B8" s="81">
        <v>48</v>
      </c>
      <c r="C8" s="72" t="s">
        <v>242</v>
      </c>
      <c r="D8" s="115" t="s">
        <v>240</v>
      </c>
      <c r="E8" s="108" t="s">
        <v>237</v>
      </c>
      <c r="F8" s="107" t="s">
        <v>232</v>
      </c>
      <c r="G8" s="116" t="s">
        <v>222</v>
      </c>
      <c r="H8" s="81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9"/>
      <c r="V8" s="48"/>
      <c r="W8" s="48"/>
    </row>
    <row r="9" spans="2:23" ht="16.5" x14ac:dyDescent="0.25">
      <c r="B9" s="80"/>
      <c r="C9" s="80"/>
      <c r="D9" s="111"/>
      <c r="E9" s="111"/>
      <c r="F9" s="111"/>
      <c r="G9" s="111"/>
      <c r="H9" s="80"/>
      <c r="J9" s="46" t="s">
        <v>173</v>
      </c>
      <c r="K9" s="45" t="s">
        <v>139</v>
      </c>
      <c r="L9" s="46" t="s">
        <v>130</v>
      </c>
      <c r="M9" s="46"/>
      <c r="N9" s="46"/>
      <c r="O9" s="46"/>
      <c r="P9" s="46"/>
      <c r="Q9" s="46"/>
      <c r="R9" s="46"/>
      <c r="S9" s="46"/>
      <c r="T9" s="46"/>
      <c r="U9" s="47"/>
      <c r="V9" s="46"/>
      <c r="W9" s="46"/>
    </row>
    <row r="10" spans="2:23" ht="16.5" x14ac:dyDescent="0.25">
      <c r="D10" t="s">
        <v>245</v>
      </c>
      <c r="F10" t="s">
        <v>143</v>
      </c>
      <c r="G10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9"/>
      <c r="V10" s="48"/>
      <c r="W10" s="48"/>
    </row>
    <row r="11" spans="2:23" ht="16.5" x14ac:dyDescent="0.25">
      <c r="D11"/>
      <c r="F11" t="s">
        <v>176</v>
      </c>
      <c r="G11"/>
      <c r="J11" s="46" t="s">
        <v>174</v>
      </c>
      <c r="K11" s="45" t="s">
        <v>123</v>
      </c>
      <c r="L11" s="46" t="s">
        <v>123</v>
      </c>
      <c r="M11" s="46"/>
      <c r="N11" s="46"/>
      <c r="O11" s="46"/>
      <c r="P11" s="46"/>
      <c r="Q11" s="46"/>
      <c r="R11" s="46"/>
      <c r="S11" s="46"/>
      <c r="T11" s="46"/>
      <c r="U11" s="47"/>
      <c r="V11" s="61" t="s">
        <v>175</v>
      </c>
      <c r="W11" s="46"/>
    </row>
    <row r="12" spans="2:23" ht="16.5" x14ac:dyDescent="0.25">
      <c r="D12"/>
      <c r="F12"/>
      <c r="G12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9"/>
      <c r="V12" s="48"/>
      <c r="W12" s="48"/>
    </row>
    <row r="13" spans="2:23" x14ac:dyDescent="0.25">
      <c r="J13" s="46" t="s">
        <v>177</v>
      </c>
      <c r="K13" s="45" t="s">
        <v>125</v>
      </c>
      <c r="L13" s="46" t="s">
        <v>125</v>
      </c>
      <c r="M13" s="46"/>
      <c r="N13" s="46"/>
      <c r="O13" s="46"/>
      <c r="P13" s="46"/>
      <c r="Q13" s="46"/>
      <c r="R13" s="46"/>
      <c r="S13" s="46"/>
      <c r="T13" s="46"/>
      <c r="U13" s="47"/>
      <c r="V13" s="46"/>
      <c r="W13" s="46"/>
    </row>
    <row r="14" spans="2:23" x14ac:dyDescent="0.25"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9"/>
      <c r="V14" s="48"/>
      <c r="W14" s="48"/>
    </row>
    <row r="15" spans="2:23" ht="16.5" x14ac:dyDescent="0.25">
      <c r="C15" s="62" t="s">
        <v>148</v>
      </c>
      <c r="D15" s="63"/>
      <c r="E15" s="63"/>
      <c r="F15" s="63"/>
      <c r="G15" s="63"/>
      <c r="J15" s="46"/>
      <c r="K15" s="45" t="s">
        <v>140</v>
      </c>
      <c r="L15" s="46" t="s">
        <v>115</v>
      </c>
      <c r="M15" s="46"/>
      <c r="N15" s="46"/>
      <c r="O15" s="53" t="s">
        <v>138</v>
      </c>
      <c r="P15" s="46"/>
      <c r="Q15" s="46"/>
      <c r="R15" s="46"/>
      <c r="S15" s="46"/>
      <c r="T15" s="46"/>
      <c r="U15" s="47"/>
      <c r="V15" s="46"/>
      <c r="W15" s="46"/>
    </row>
    <row r="16" spans="2:23" x14ac:dyDescent="0.25">
      <c r="D16" s="42" t="s">
        <v>76</v>
      </c>
      <c r="E16" s="42" t="s">
        <v>78</v>
      </c>
      <c r="F16" s="42" t="s">
        <v>79</v>
      </c>
      <c r="G16" s="42" t="s">
        <v>81</v>
      </c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9"/>
      <c r="V16" s="48"/>
      <c r="W16" s="48"/>
    </row>
    <row r="17" spans="2:23" ht="16.5" x14ac:dyDescent="0.25">
      <c r="B17" s="84" t="s">
        <v>196</v>
      </c>
      <c r="C17" s="42" t="s">
        <v>195</v>
      </c>
      <c r="D17" s="85">
        <v>10100</v>
      </c>
      <c r="E17" s="86">
        <v>10100</v>
      </c>
      <c r="F17" s="67"/>
      <c r="G17" s="68"/>
      <c r="J17" s="46"/>
      <c r="K17" s="45" t="s">
        <v>141</v>
      </c>
      <c r="L17" s="46" t="s">
        <v>117</v>
      </c>
      <c r="M17" s="46"/>
      <c r="N17" s="46"/>
      <c r="O17" s="46"/>
      <c r="P17" s="46"/>
      <c r="Q17" s="46"/>
      <c r="R17" s="46"/>
      <c r="S17" s="46"/>
      <c r="T17" s="46"/>
      <c r="U17" s="47"/>
      <c r="V17" s="46"/>
      <c r="W17" s="46"/>
    </row>
    <row r="18" spans="2:23" x14ac:dyDescent="0.25">
      <c r="C18" s="43"/>
      <c r="D18" s="65">
        <f>BIN2DEC(D17)</f>
        <v>20</v>
      </c>
      <c r="E18" s="66">
        <f>BIN2DEC(E17)</f>
        <v>20</v>
      </c>
      <c r="F18" s="87"/>
      <c r="G18" s="8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9"/>
      <c r="V18" s="48"/>
      <c r="W18" s="48"/>
    </row>
    <row r="19" spans="2:23" ht="16.5" x14ac:dyDescent="0.25">
      <c r="B19" s="84" t="s">
        <v>197</v>
      </c>
      <c r="C19" s="42" t="s">
        <v>147</v>
      </c>
      <c r="D19" s="67"/>
      <c r="E19" s="68"/>
      <c r="F19" s="89"/>
      <c r="G19" s="86">
        <v>111111</v>
      </c>
      <c r="J19" s="46" t="s">
        <v>178</v>
      </c>
      <c r="K19" s="45" t="s">
        <v>127</v>
      </c>
      <c r="L19" s="46" t="s">
        <v>179</v>
      </c>
      <c r="M19" s="46"/>
      <c r="N19" s="46"/>
      <c r="O19" s="46"/>
      <c r="P19" s="46"/>
      <c r="Q19" s="46"/>
      <c r="R19" s="46"/>
      <c r="S19" s="46"/>
      <c r="T19" s="46"/>
      <c r="U19" s="47"/>
      <c r="V19" s="46"/>
      <c r="W19" s="46"/>
    </row>
    <row r="20" spans="2:23" x14ac:dyDescent="0.25">
      <c r="C20" s="43"/>
      <c r="D20" s="87"/>
      <c r="E20" s="88"/>
      <c r="F20" s="69"/>
      <c r="G20" s="66">
        <f>BIN2DEC(G19)</f>
        <v>63</v>
      </c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9"/>
      <c r="V20" s="48"/>
      <c r="W20" s="48"/>
    </row>
    <row r="21" spans="2:23" ht="16.5" x14ac:dyDescent="0.25">
      <c r="C21" s="62" t="s">
        <v>149</v>
      </c>
      <c r="D21" s="63"/>
      <c r="E21" s="63"/>
      <c r="F21" s="63"/>
      <c r="G21" s="63"/>
      <c r="J21" s="46" t="s">
        <v>180</v>
      </c>
      <c r="K21" s="45" t="s">
        <v>142</v>
      </c>
      <c r="L21" s="46" t="s">
        <v>107</v>
      </c>
      <c r="M21" s="46"/>
      <c r="N21" s="46"/>
      <c r="O21" s="46"/>
      <c r="P21" s="46"/>
      <c r="Q21" s="46"/>
      <c r="R21" s="46"/>
      <c r="S21" s="46"/>
      <c r="T21" s="46"/>
      <c r="U21" s="47" t="s">
        <v>181</v>
      </c>
      <c r="V21" s="46"/>
      <c r="W21" s="46"/>
    </row>
    <row r="22" spans="2:23" x14ac:dyDescent="0.25">
      <c r="D22" s="42" t="s">
        <v>75</v>
      </c>
      <c r="E22" s="42" t="s">
        <v>77</v>
      </c>
      <c r="F22" s="42" t="s">
        <v>79</v>
      </c>
      <c r="G22" s="42" t="s">
        <v>81</v>
      </c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9"/>
      <c r="V22" s="48"/>
      <c r="W22" s="48"/>
    </row>
    <row r="23" spans="2:23" ht="16.5" x14ac:dyDescent="0.25">
      <c r="B23" s="84" t="s">
        <v>196</v>
      </c>
      <c r="C23" s="42" t="s">
        <v>145</v>
      </c>
      <c r="D23" s="85"/>
      <c r="E23" s="86"/>
      <c r="F23" s="87"/>
      <c r="G23" s="88"/>
      <c r="J23" s="50" t="s">
        <v>182</v>
      </c>
      <c r="K23" s="51" t="s">
        <v>137</v>
      </c>
      <c r="L23" s="50" t="s">
        <v>137</v>
      </c>
      <c r="M23" s="50"/>
      <c r="N23" s="50"/>
      <c r="O23" s="50"/>
      <c r="P23" s="50"/>
      <c r="Q23" s="50"/>
      <c r="R23" s="50"/>
      <c r="S23" s="50"/>
      <c r="T23" s="50"/>
      <c r="U23" s="52"/>
      <c r="V23" s="50"/>
      <c r="W23" s="50"/>
    </row>
    <row r="24" spans="2:23" ht="16.5" x14ac:dyDescent="0.25">
      <c r="B24" s="84"/>
      <c r="D24" s="85"/>
      <c r="E24" s="86"/>
      <c r="F24" s="87"/>
      <c r="G24" s="8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V24" s="48"/>
      <c r="W24" s="48"/>
    </row>
    <row r="25" spans="2:23" ht="16.5" x14ac:dyDescent="0.25">
      <c r="B25" s="84" t="s">
        <v>197</v>
      </c>
      <c r="C25" s="42" t="s">
        <v>146</v>
      </c>
      <c r="D25" s="87"/>
      <c r="E25" s="88"/>
      <c r="F25" s="89"/>
      <c r="G25" s="86" t="str">
        <f>DEC2BIN((bitand(BIN2DEC(E17),BIN2DEC(G19))),6)</f>
        <v>010100</v>
      </c>
    </row>
    <row r="26" spans="2:23" x14ac:dyDescent="0.25">
      <c r="D26" s="87"/>
      <c r="E26" s="88"/>
      <c r="F26" s="89"/>
      <c r="G26" s="86"/>
    </row>
    <row r="29" spans="2:23" ht="16.5" customHeight="1" x14ac:dyDescent="0.25"/>
    <row r="35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K33"/>
  <sheetViews>
    <sheetView zoomScaleNormal="100" workbookViewId="0">
      <pane ySplit="1" topLeftCell="A2" activePane="bottomLeft" state="frozen"/>
      <selection pane="bottomLeft" activeCell="K1" sqref="K1"/>
    </sheetView>
  </sheetViews>
  <sheetFormatPr defaultRowHeight="16.5" x14ac:dyDescent="0.25"/>
  <cols>
    <col min="1" max="1" width="2.5" style="43" customWidth="1"/>
    <col min="2" max="2" width="4.375" style="43" customWidth="1"/>
    <col min="3" max="3" width="5.25" customWidth="1"/>
    <col min="4" max="5" width="5.375" style="42" customWidth="1"/>
    <col min="6" max="6" width="11.25" style="165" bestFit="1" customWidth="1"/>
    <col min="7" max="7" width="11.25" style="165" customWidth="1"/>
    <col min="8" max="8" width="9.125" style="43" customWidth="1"/>
    <col min="9" max="9" width="13.25" style="43" customWidth="1"/>
    <col min="10" max="10" width="2.5" style="43" customWidth="1"/>
    <col min="11" max="11" width="9.75" style="64" customWidth="1"/>
    <col min="12" max="13" width="9.75" style="43" customWidth="1"/>
    <col min="14" max="16384" width="9" style="43"/>
  </cols>
  <sheetData>
    <row r="1" spans="1:11" s="54" customFormat="1" ht="51" customHeight="1" x14ac:dyDescent="0.25">
      <c r="A1" s="54" t="s">
        <v>272</v>
      </c>
      <c r="B1" s="54" t="s">
        <v>131</v>
      </c>
      <c r="C1" s="73" t="s">
        <v>187</v>
      </c>
      <c r="D1" s="118" t="s">
        <v>246</v>
      </c>
      <c r="E1" s="119" t="s">
        <v>247</v>
      </c>
      <c r="F1" s="55" t="s">
        <v>200</v>
      </c>
      <c r="G1" s="55" t="s">
        <v>54</v>
      </c>
      <c r="H1" s="55" t="s">
        <v>199</v>
      </c>
      <c r="I1" s="54" t="s">
        <v>193</v>
      </c>
      <c r="J1" s="54">
        <f>COLUMN(表格4_7112[[#Headers],[反應]])-1</f>
        <v>5</v>
      </c>
      <c r="K1" s="82"/>
    </row>
    <row r="2" spans="1:11" ht="15.75" x14ac:dyDescent="0.25">
      <c r="B2" s="57">
        <f t="shared" ref="B2:B33" si="0">ROW()-2</f>
        <v>0</v>
      </c>
      <c r="C2" s="74" t="str">
        <f>DEC2BIN(INT(表格4_7112[[#This Row],[DEC]]/(2^($J$1-COLUMN()))),3)</f>
        <v>000</v>
      </c>
      <c r="D2" s="77">
        <f>IF(bitand(表格4_7112[[#This Row],[DEC]],2)&gt;0,1,0)</f>
        <v>0</v>
      </c>
      <c r="E2" s="77">
        <f>IF(bitand(表格4_7112[[#This Row],[DEC]],1)&gt;0,1,0)</f>
        <v>0</v>
      </c>
      <c r="F2" s="216" t="str">
        <f xml:space="preserve"> CONCATENATE("//ID",表格4_7112[[#This Row],[DEC]])</f>
        <v>//ID0</v>
      </c>
      <c r="G2" s="193" t="str">
        <f xml:space="preserve"> "反 應" &amp; 表格4_7112[[#This Row],[DEC]]</f>
        <v>反 應0</v>
      </c>
      <c r="H2" s="90" t="str">
        <f>$A$1&amp;表格4_7112[[#This Row],[欄1]]&amp;$A$1&amp;","</f>
        <v>"反 應0",</v>
      </c>
      <c r="I2" s="83" t="str">
        <f>CONCATENATE(表格4_7112[[#This Row],[反應]]," = ",表格4_7112[[#This Row],[DEC]],",")</f>
        <v>//ID0 = 0,</v>
      </c>
    </row>
    <row r="3" spans="1:11" ht="15.75" x14ac:dyDescent="0.25">
      <c r="B3" s="57">
        <f t="shared" si="0"/>
        <v>1</v>
      </c>
      <c r="C3" s="74" t="str">
        <f>DEC2BIN(INT(表格4_7112[[#This Row],[DEC]]/(2^($J$1-COLUMN()))),3)</f>
        <v>000</v>
      </c>
      <c r="D3" s="77">
        <f>IF(bitand(表格4_7112[[#This Row],[DEC]],2)&gt;0,1,0)</f>
        <v>0</v>
      </c>
      <c r="E3" s="77">
        <f>IF(bitand(表格4_7112[[#This Row],[DEC]],1)&gt;0,1,0)</f>
        <v>1</v>
      </c>
      <c r="F3" s="217" t="str">
        <f xml:space="preserve"> CONCATENATE("//ID",表格4_7112[[#This Row],[DEC]])</f>
        <v>//ID1</v>
      </c>
      <c r="G3" s="194" t="str">
        <f xml:space="preserve"> "反 應" &amp; 表格4_7112[[#This Row],[DEC]]</f>
        <v>反 應1</v>
      </c>
      <c r="H3" s="90" t="str">
        <f>$A$1&amp;表格4_7112[[#This Row],[欄1]]&amp;$A$1&amp;","</f>
        <v>"反 應1",</v>
      </c>
      <c r="I3" s="83" t="str">
        <f>CONCATENATE(表格4_7112[[#This Row],[反應]]," = ",表格4_7112[[#This Row],[DEC]],",")</f>
        <v>//ID1 = 1,</v>
      </c>
    </row>
    <row r="4" spans="1:11" ht="15.75" x14ac:dyDescent="0.25">
      <c r="B4" s="57">
        <f t="shared" si="0"/>
        <v>2</v>
      </c>
      <c r="C4" s="74" t="str">
        <f>DEC2BIN(INT(表格4_7112[[#This Row],[DEC]]/(2^($J$1-COLUMN()))),3)</f>
        <v>000</v>
      </c>
      <c r="D4" s="77">
        <f>IF(bitand(表格4_7112[[#This Row],[DEC]],2)&gt;0,1,0)</f>
        <v>1</v>
      </c>
      <c r="E4" s="77">
        <f>IF(bitand(表格4_7112[[#This Row],[DEC]],1)&gt;0,1,0)</f>
        <v>0</v>
      </c>
      <c r="F4" s="218" t="str">
        <f xml:space="preserve"> CONCATENATE("//ID",表格4_7112[[#This Row],[DEC]])</f>
        <v>//ID2</v>
      </c>
      <c r="G4" s="195" t="str">
        <f xml:space="preserve"> "反 應" &amp; 表格4_7112[[#This Row],[DEC]]</f>
        <v>反 應2</v>
      </c>
      <c r="H4" s="90" t="str">
        <f>$A$1&amp;表格4_7112[[#This Row],[欄1]]&amp;$A$1&amp;","</f>
        <v>"反 應2",</v>
      </c>
      <c r="I4" s="83" t="str">
        <f>CONCATENATE(表格4_7112[[#This Row],[反應]]," = ",表格4_7112[[#This Row],[DEC]],",")</f>
        <v>//ID2 = 2,</v>
      </c>
    </row>
    <row r="5" spans="1:11" ht="15.75" x14ac:dyDescent="0.25">
      <c r="B5" s="57">
        <f t="shared" si="0"/>
        <v>3</v>
      </c>
      <c r="C5" s="74" t="str">
        <f>DEC2BIN(INT(表格4_7112[[#This Row],[DEC]]/(2^($J$1-COLUMN()))),3)</f>
        <v>000</v>
      </c>
      <c r="D5" s="77">
        <f>IF(bitand(表格4_7112[[#This Row],[DEC]],2)&gt;0,1,0)</f>
        <v>1</v>
      </c>
      <c r="E5" s="77">
        <f>IF(bitand(表格4_7112[[#This Row],[DEC]],1)&gt;0,1,0)</f>
        <v>1</v>
      </c>
      <c r="F5" s="219" t="str">
        <f xml:space="preserve"> CONCATENATE("//ID",表格4_7112[[#This Row],[DEC]])</f>
        <v>//ID3</v>
      </c>
      <c r="G5" s="220" t="str">
        <f xml:space="preserve"> "反 應" &amp; 表格4_7112[[#This Row],[DEC]]</f>
        <v>反 應3</v>
      </c>
      <c r="H5" s="101" t="str">
        <f>$A$1&amp;表格4_7112[[#This Row],[欄1]]&amp;$A$1&amp;","</f>
        <v>"反 應3",</v>
      </c>
      <c r="I5" s="92" t="str">
        <f>CONCATENATE(表格4_7112[[#This Row],[反應]]," = ",表格4_7112[[#This Row],[DEC]],",")</f>
        <v>//ID3 = 3,</v>
      </c>
    </row>
    <row r="6" spans="1:11" ht="15.75" x14ac:dyDescent="0.25">
      <c r="B6" s="57">
        <f t="shared" si="0"/>
        <v>4</v>
      </c>
      <c r="C6" s="76" t="str">
        <f>DEC2BIN(INT(表格4_7112[[#This Row],[DEC]]/(2^($J$1-COLUMN()))),3)</f>
        <v>001</v>
      </c>
      <c r="D6" s="77">
        <f>IF(bitand(表格4_7112[[#This Row],[DEC]],2)&gt;0,1,0)</f>
        <v>0</v>
      </c>
      <c r="E6" s="77">
        <f>IF(bitand(表格4_7112[[#This Row],[DEC]],1)&gt;0,1,0)</f>
        <v>0</v>
      </c>
      <c r="F6" s="151" t="s">
        <v>190</v>
      </c>
      <c r="G6" s="196" t="s">
        <v>260</v>
      </c>
      <c r="H6" s="90" t="str">
        <f>$A$1&amp;表格4_7112[[#This Row],[欄1]]&amp;$A$1&amp;","</f>
        <v>"麻　痺",</v>
      </c>
      <c r="I6" s="83" t="str">
        <f>CONCATENATE(表格4_7112[[#This Row],[反應]]," = ",表格4_7112[[#This Row],[DEC]],",")</f>
        <v>Paralysis = 4,</v>
      </c>
    </row>
    <row r="7" spans="1:11" ht="15.75" x14ac:dyDescent="0.25">
      <c r="B7" s="57">
        <f t="shared" si="0"/>
        <v>5</v>
      </c>
      <c r="C7" s="76" t="str">
        <f>DEC2BIN(INT(表格4_7112[[#This Row],[DEC]]/(2^($J$1-COLUMN()))),3)</f>
        <v>001</v>
      </c>
      <c r="D7" s="77">
        <f>IF(bitand(表格4_7112[[#This Row],[DEC]],2)&gt;0,1,0)</f>
        <v>0</v>
      </c>
      <c r="E7" s="77">
        <f>IF(bitand(表格4_7112[[#This Row],[DEC]],1)&gt;0,1,0)</f>
        <v>1</v>
      </c>
      <c r="F7" s="170" t="s">
        <v>198</v>
      </c>
      <c r="G7" s="153" t="s">
        <v>261</v>
      </c>
      <c r="H7" s="90" t="str">
        <f>$A$1&amp;表格4_7112[[#This Row],[欄1]]&amp;$A$1&amp;","</f>
        <v>"帶　電",</v>
      </c>
      <c r="I7" s="83" t="str">
        <f>CONCATENATE(表格4_7112[[#This Row],[反應]]," = ",表格4_7112[[#This Row],[DEC]],",")</f>
        <v>Electrified = 5,</v>
      </c>
    </row>
    <row r="8" spans="1:11" ht="15.75" x14ac:dyDescent="0.25">
      <c r="B8" s="57">
        <f t="shared" si="0"/>
        <v>6</v>
      </c>
      <c r="C8" s="76" t="str">
        <f>DEC2BIN(INT(表格4_7112[[#This Row],[DEC]]/(2^($J$1-COLUMN()))),3)</f>
        <v>001</v>
      </c>
      <c r="D8" s="77">
        <f>IF(bitand(表格4_7112[[#This Row],[DEC]],2)&gt;0,1,0)</f>
        <v>1</v>
      </c>
      <c r="E8" s="77">
        <f>IF(bitand(表格4_7112[[#This Row],[DEC]],1)&gt;0,1,0)</f>
        <v>0</v>
      </c>
      <c r="F8" s="171" t="s">
        <v>224</v>
      </c>
      <c r="G8" s="154" t="s">
        <v>262</v>
      </c>
      <c r="H8" s="101" t="str">
        <f>$A$1&amp;表格4_7112[[#This Row],[欄1]]&amp;$A$1&amp;","</f>
        <v>"衝　擊",</v>
      </c>
      <c r="I8" s="93" t="str">
        <f>CONCATENATE(表格4_7112[[#This Row],[反應]]," = ",表格4_7112[[#This Row],[DEC]],",")</f>
        <v>Impact = 6,</v>
      </c>
    </row>
    <row r="9" spans="1:11" ht="15.75" x14ac:dyDescent="0.25">
      <c r="B9" s="57">
        <f t="shared" si="0"/>
        <v>7</v>
      </c>
      <c r="C9" s="76" t="str">
        <f>DEC2BIN(INT(表格4_7112[[#This Row],[DEC]]/(2^($J$1-COLUMN()))),3)</f>
        <v>001</v>
      </c>
      <c r="D9" s="77">
        <f>IF(bitand(表格4_7112[[#This Row],[DEC]],2)&gt;0,1,0)</f>
        <v>1</v>
      </c>
      <c r="E9" s="77">
        <f>IF(bitand(表格4_7112[[#This Row],[DEC]],1)&gt;0,1,0)</f>
        <v>1</v>
      </c>
      <c r="F9" s="155" t="s">
        <v>191</v>
      </c>
      <c r="G9" s="197" t="s">
        <v>263</v>
      </c>
      <c r="H9" s="90" t="str">
        <f>$A$1&amp;表格4_7112[[#This Row],[欄1]]&amp;$A$1&amp;","</f>
        <v>"雷　電",</v>
      </c>
      <c r="I9" s="83" t="str">
        <f>CONCATENATE(表格4_7112[[#This Row],[反應]]," = ",表格4_7112[[#This Row],[DEC]],",")</f>
        <v>Lightning = 7,</v>
      </c>
    </row>
    <row r="10" spans="1:11" ht="15.75" x14ac:dyDescent="0.25">
      <c r="B10" s="57">
        <f t="shared" si="0"/>
        <v>8</v>
      </c>
      <c r="C10" s="75" t="str">
        <f>DEC2BIN(INT(表格4_7112[[#This Row],[DEC]]/(2^($J$1-COLUMN()))),3)</f>
        <v>010</v>
      </c>
      <c r="D10" s="77">
        <f>IF(bitand(表格4_7112[[#This Row],[DEC]],2)&gt;0,1,0)</f>
        <v>0</v>
      </c>
      <c r="E10" s="77">
        <f>IF(bitand(表格4_7112[[#This Row],[DEC]],1)&gt;0,1,0)</f>
        <v>0</v>
      </c>
      <c r="F10" s="157" t="s">
        <v>188</v>
      </c>
      <c r="G10" s="198" t="s">
        <v>264</v>
      </c>
      <c r="H10" s="90" t="str">
        <f>$A$1&amp;表格4_7112[[#This Row],[欄1]]&amp;$A$1&amp;","</f>
        <v>"暈　眩",</v>
      </c>
      <c r="I10" s="83" t="str">
        <f>CONCATENATE(表格4_7112[[#This Row],[反應]]," = ",表格4_7112[[#This Row],[DEC]],",")</f>
        <v>Dizzy = 8,</v>
      </c>
    </row>
    <row r="11" spans="1:11" ht="15.75" x14ac:dyDescent="0.25">
      <c r="B11" s="57">
        <f t="shared" si="0"/>
        <v>9</v>
      </c>
      <c r="C11" s="75" t="str">
        <f>DEC2BIN(INT(表格4_7112[[#This Row],[DEC]]/(2^($J$1-COLUMN()))),3)</f>
        <v>010</v>
      </c>
      <c r="D11" s="77">
        <f>IF(bitand(表格4_7112[[#This Row],[DEC]],2)&gt;0,1,0)</f>
        <v>0</v>
      </c>
      <c r="E11" s="77">
        <f>IF(bitand(表格4_7112[[#This Row],[DEC]],1)&gt;0,1,0)</f>
        <v>1</v>
      </c>
      <c r="F11" s="158" t="s">
        <v>220</v>
      </c>
      <c r="G11" s="199" t="s">
        <v>265</v>
      </c>
      <c r="H11" s="101" t="str">
        <f>$A$1&amp;表格4_7112[[#This Row],[欄1]]&amp;$A$1&amp;","</f>
        <v>"出　血",</v>
      </c>
      <c r="I11" s="92" t="str">
        <f>CONCATENATE(表格4_7112[[#This Row],[反應]]," = ",表格4_7112[[#This Row],[DEC]],",")</f>
        <v>Bleeding = 9,</v>
      </c>
    </row>
    <row r="12" spans="1:11" ht="15.75" x14ac:dyDescent="0.25">
      <c r="B12" s="57">
        <f t="shared" si="0"/>
        <v>10</v>
      </c>
      <c r="C12" s="75" t="str">
        <f>DEC2BIN(INT(表格4_7112[[#This Row],[DEC]]/(2^($J$1-COLUMN()))),3)</f>
        <v>010</v>
      </c>
      <c r="D12" s="77">
        <f>IF(bitand(表格4_7112[[#This Row],[DEC]],2)&gt;0,1,0)</f>
        <v>1</v>
      </c>
      <c r="E12" s="77">
        <f>IF(bitand(表格4_7112[[#This Row],[DEC]],1)&gt;0,1,0)</f>
        <v>0</v>
      </c>
      <c r="F12" s="159" t="s">
        <v>256</v>
      </c>
      <c r="G12" s="200" t="s">
        <v>266</v>
      </c>
      <c r="H12" s="101" t="str">
        <f>$A$1&amp;表格4_7112[[#This Row],[欄1]]&amp;$A$1&amp;","</f>
        <v>"反　彈",</v>
      </c>
      <c r="I12" s="92" t="str">
        <f>CONCATENATE(表格4_7112[[#This Row],[反應]]," = ",表格4_7112[[#This Row],[DEC]],",")</f>
        <v>WallDeflect = 10,</v>
      </c>
    </row>
    <row r="13" spans="1:11" ht="15.75" x14ac:dyDescent="0.25">
      <c r="B13" s="57">
        <f t="shared" si="0"/>
        <v>11</v>
      </c>
      <c r="C13" s="75" t="str">
        <f>DEC2BIN(INT(表格4_7112[[#This Row],[DEC]]/(2^($J$1-COLUMN()))),3)</f>
        <v>010</v>
      </c>
      <c r="D13" s="77">
        <f>IF(bitand(表格4_7112[[#This Row],[DEC]],2)&gt;0,1,0)</f>
        <v>1</v>
      </c>
      <c r="E13" s="77">
        <f>IF(bitand(表格4_7112[[#This Row],[DEC]],1)&gt;0,1,0)</f>
        <v>1</v>
      </c>
      <c r="F13" s="160" t="s">
        <v>189</v>
      </c>
      <c r="G13" s="201" t="s">
        <v>267</v>
      </c>
      <c r="H13" s="90" t="str">
        <f>$A$1&amp;表格4_7112[[#This Row],[欄1]]&amp;$A$1&amp;","</f>
        <v>"打　擊",</v>
      </c>
      <c r="I13" s="83" t="str">
        <f>CONCATENATE(表格4_7112[[#This Row],[反應]]," = ",表格4_7112[[#This Row],[DEC]],",")</f>
        <v>Attack = 11,</v>
      </c>
    </row>
    <row r="14" spans="1:11" ht="15.75" x14ac:dyDescent="0.25">
      <c r="B14" s="57">
        <f t="shared" si="0"/>
        <v>12</v>
      </c>
      <c r="C14" s="78" t="str">
        <f>DEC2BIN(INT(表格4_7112[[#This Row],[DEC]]/(2^($J$1-COLUMN()))),3)</f>
        <v>011</v>
      </c>
      <c r="D14" s="77">
        <f>IF(bitand(表格4_7112[[#This Row],[DEC]],2)&gt;0,1,0)</f>
        <v>0</v>
      </c>
      <c r="E14" s="77">
        <f>IF(bitand(表格4_7112[[#This Row],[DEC]],1)&gt;0,1,0)</f>
        <v>0</v>
      </c>
      <c r="F14" s="161" t="s">
        <v>211</v>
      </c>
      <c r="G14" s="202" t="s">
        <v>268</v>
      </c>
      <c r="H14" s="101" t="str">
        <f>$A$1&amp;表格4_7112[[#This Row],[欄1]]&amp;$A$1&amp;","</f>
        <v>"續火態",</v>
      </c>
      <c r="I14" s="92" t="str">
        <f>CONCATENATE(表格4_7112[[#This Row],[反應]]," = ",表格4_7112[[#This Row],[DEC]],",")</f>
        <v>Explosion = 12,</v>
      </c>
    </row>
    <row r="15" spans="1:11" ht="15.75" x14ac:dyDescent="0.25">
      <c r="B15" s="57">
        <f t="shared" si="0"/>
        <v>13</v>
      </c>
      <c r="C15" s="78" t="str">
        <f>DEC2BIN(INT(表格4_7112[[#This Row],[DEC]]/(2^($J$1-COLUMN()))),3)</f>
        <v>011</v>
      </c>
      <c r="D15" s="77">
        <f>IF(bitand(表格4_7112[[#This Row],[DEC]],2)&gt;0,1,0)</f>
        <v>0</v>
      </c>
      <c r="E15" s="77">
        <f>IF(bitand(表格4_7112[[#This Row],[DEC]],1)&gt;0,1,0)</f>
        <v>1</v>
      </c>
      <c r="F15" s="162" t="s">
        <v>210</v>
      </c>
      <c r="G15" s="203" t="s">
        <v>269</v>
      </c>
      <c r="H15" s="90" t="str">
        <f>$A$1&amp;表格4_7112[[#This Row],[欄1]]&amp;$A$1&amp;","</f>
        <v>"燃　燒",</v>
      </c>
      <c r="I15" s="83" t="str">
        <f>CONCATENATE(表格4_7112[[#This Row],[反應]]," = ",表格4_7112[[#This Row],[DEC]],",")</f>
        <v>Burn = 13,</v>
      </c>
    </row>
    <row r="16" spans="1:11" ht="15.75" x14ac:dyDescent="0.25">
      <c r="B16" s="57">
        <f t="shared" si="0"/>
        <v>14</v>
      </c>
      <c r="C16" s="78" t="str">
        <f>DEC2BIN(INT(表格4_7112[[#This Row],[DEC]]/(2^($J$1-COLUMN()))),3)</f>
        <v>011</v>
      </c>
      <c r="D16" s="77">
        <f>IF(bitand(表格4_7112[[#This Row],[DEC]],2)&gt;0,1,0)</f>
        <v>1</v>
      </c>
      <c r="E16" s="77">
        <f>IF(bitand(表格4_7112[[#This Row],[DEC]],1)&gt;0,1,0)</f>
        <v>0</v>
      </c>
      <c r="F16" s="163" t="s">
        <v>209</v>
      </c>
      <c r="G16" s="204" t="s">
        <v>270</v>
      </c>
      <c r="H16" s="90" t="str">
        <f>$A$1&amp;表格4_7112[[#This Row],[欄1]]&amp;$A$1&amp;","</f>
        <v>"失　明",</v>
      </c>
      <c r="I16" s="83" t="str">
        <f>CONCATENATE(表格4_7112[[#This Row],[反應]]," = ",表格4_7112[[#This Row],[DEC]],",")</f>
        <v>Blind = 14,</v>
      </c>
    </row>
    <row r="17" spans="2:9" ht="15.75" x14ac:dyDescent="0.25">
      <c r="B17" s="57">
        <f t="shared" si="0"/>
        <v>15</v>
      </c>
      <c r="C17" s="78" t="str">
        <f>DEC2BIN(INT(表格4_7112[[#This Row],[DEC]]/(2^($J$1-COLUMN()))),3)</f>
        <v>011</v>
      </c>
      <c r="D17" s="77">
        <f>IF(bitand(表格4_7112[[#This Row],[DEC]],2)&gt;0,1,0)</f>
        <v>1</v>
      </c>
      <c r="E17" s="77">
        <f>IF(bitand(表格4_7112[[#This Row],[DEC]],1)&gt;0,1,0)</f>
        <v>1</v>
      </c>
      <c r="F17" s="164" t="s">
        <v>192</v>
      </c>
      <c r="G17" s="205" t="s">
        <v>271</v>
      </c>
      <c r="H17" s="101" t="str">
        <f>$A$1&amp;表格4_7112[[#This Row],[欄1]]&amp;$A$1&amp;","</f>
        <v>"灼　傷",</v>
      </c>
      <c r="I17" s="92" t="str">
        <f>CONCATENATE(表格4_7112[[#This Row],[反應]]," = ",表格4_7112[[#This Row],[DEC]],",")</f>
        <v>Scald = 15,</v>
      </c>
    </row>
    <row r="18" spans="2:9" ht="15.75" x14ac:dyDescent="0.25">
      <c r="B18" s="57">
        <f t="shared" si="0"/>
        <v>16</v>
      </c>
      <c r="C18" s="74" t="str">
        <f>DEC2BIN(INT(表格4_7112[[#This Row],[DEC]]/(2^($J$1-COLUMN()))),3)</f>
        <v>100</v>
      </c>
      <c r="D18" s="77">
        <f>IF(bitand(表格4_7112[[#This Row],[DEC]],2)&gt;0,1,0)</f>
        <v>0</v>
      </c>
      <c r="E18" s="77">
        <f>IF(bitand(表格4_7112[[#This Row],[DEC]],1)&gt;0,1,0)</f>
        <v>0</v>
      </c>
      <c r="F18" s="146" t="s">
        <v>205</v>
      </c>
      <c r="G18" s="146" t="s">
        <v>257</v>
      </c>
      <c r="H18" s="91" t="str">
        <f>$A$1&amp;表格4_7112[[#This Row],[欄1]]&amp;$A$1&amp;","</f>
        <v>"緩　慢",</v>
      </c>
      <c r="I18" s="100" t="str">
        <f>CONCATENATE(表格4_7112[[#This Row],[反應]]," = ",表格4_7112[[#This Row],[DEC]],",")</f>
        <v>Slow = 16,</v>
      </c>
    </row>
    <row r="19" spans="2:9" ht="15.75" x14ac:dyDescent="0.25">
      <c r="B19" s="57">
        <f t="shared" si="0"/>
        <v>17</v>
      </c>
      <c r="C19" s="74" t="str">
        <f>DEC2BIN(INT(表格4_7112[[#This Row],[DEC]]/(2^($J$1-COLUMN()))),3)</f>
        <v>100</v>
      </c>
      <c r="D19" s="77">
        <f>IF(bitand(表格4_7112[[#This Row],[DEC]],2)&gt;0,1,0)</f>
        <v>0</v>
      </c>
      <c r="E19" s="77">
        <f>IF(bitand(表格4_7112[[#This Row],[DEC]],1)&gt;0,1,0)</f>
        <v>1</v>
      </c>
      <c r="F19" s="148" t="s">
        <v>206</v>
      </c>
      <c r="G19" s="148" t="s">
        <v>258</v>
      </c>
      <c r="H19" s="91" t="str">
        <f>$A$1&amp;表格4_7112[[#This Row],[欄1]]&amp;$A$1&amp;","</f>
        <v>"中　毒",</v>
      </c>
      <c r="I19" s="100" t="str">
        <f>CONCATENATE(表格4_7112[[#This Row],[反應]]," = ",表格4_7112[[#This Row],[DEC]],",")</f>
        <v>Poison = 17,</v>
      </c>
    </row>
    <row r="20" spans="2:9" ht="15.75" x14ac:dyDescent="0.25">
      <c r="B20" s="57">
        <f t="shared" si="0"/>
        <v>18</v>
      </c>
      <c r="C20" s="74" t="str">
        <f>DEC2BIN(INT(表格4_7112[[#This Row],[DEC]]/(2^($J$1-COLUMN()))),3)</f>
        <v>100</v>
      </c>
      <c r="D20" s="77">
        <f>IF(bitand(表格4_7112[[#This Row],[DEC]],2)&gt;0,1,0)</f>
        <v>1</v>
      </c>
      <c r="E20" s="77">
        <f>IF(bitand(表格4_7112[[#This Row],[DEC]],1)&gt;0,1,0)</f>
        <v>0</v>
      </c>
      <c r="F20" s="149" t="s">
        <v>207</v>
      </c>
      <c r="G20" s="149" t="s">
        <v>259</v>
      </c>
      <c r="H20" s="91" t="str">
        <f>$A$1&amp;表格4_7112[[#This Row],[欄1]]&amp;$A$1&amp;","</f>
        <v>"冰　凍",</v>
      </c>
      <c r="I20" s="100" t="str">
        <f>CONCATENATE(表格4_7112[[#This Row],[反應]]," = ",表格4_7112[[#This Row],[DEC]],",")</f>
        <v>Freeze = 18,</v>
      </c>
    </row>
    <row r="21" spans="2:9" ht="15.75" x14ac:dyDescent="0.25">
      <c r="B21" s="57">
        <f t="shared" si="0"/>
        <v>19</v>
      </c>
      <c r="C21" s="74" t="str">
        <f>DEC2BIN(INT(表格4_7112[[#This Row],[DEC]]/(2^($J$1-COLUMN()))),3)</f>
        <v>100</v>
      </c>
      <c r="D21" s="77">
        <f>IF(bitand(表格4_7112[[#This Row],[DEC]],2)&gt;0,1,0)</f>
        <v>1</v>
      </c>
      <c r="E21" s="77">
        <f>IF(bitand(表格4_7112[[#This Row],[DEC]],1)&gt;0,1,0)</f>
        <v>1</v>
      </c>
      <c r="F21" s="150" t="s">
        <v>208</v>
      </c>
      <c r="G21" s="150" t="s">
        <v>218</v>
      </c>
      <c r="H21" s="101" t="str">
        <f>$A$1&amp;表格4_7112[[#This Row],[欄1]]&amp;$A$1&amp;","</f>
        <v>"凍　傷",</v>
      </c>
      <c r="I21" s="92" t="str">
        <f>CONCATENATE(表格4_7112[[#This Row],[反應]]," = ",表格4_7112[[#This Row],[DEC]],",")</f>
        <v>Frostbite = 19,</v>
      </c>
    </row>
    <row r="22" spans="2:9" ht="15.75" x14ac:dyDescent="0.25">
      <c r="B22" s="57">
        <f t="shared" si="0"/>
        <v>20</v>
      </c>
      <c r="C22" s="76" t="str">
        <f>DEC2BIN(INT(表格4_7112[[#This Row],[DEC]]/(2^($J$1-COLUMN()))),3)</f>
        <v>101</v>
      </c>
      <c r="D22" s="77">
        <f>IF(bitand(表格4_7112[[#This Row],[DEC]],2)&gt;0,1,0)</f>
        <v>0</v>
      </c>
      <c r="E22" s="77">
        <f>IF(bitand(表格4_7112[[#This Row],[DEC]],1)&gt;0,1,0)</f>
        <v>0</v>
      </c>
      <c r="F22" s="151" t="str">
        <f xml:space="preserve"> CONCATENATE("//ID",表格4_7112[[#This Row],[DEC]])</f>
        <v>//ID20</v>
      </c>
      <c r="G22" s="152" t="str">
        <f xml:space="preserve"> "反 應" &amp; 表格4_7112[[#This Row],[DEC]]</f>
        <v>反 應20</v>
      </c>
      <c r="H22" s="91" t="str">
        <f>$A$1&amp;表格4_7112[[#This Row],[欄1]]&amp;$A$1&amp;","</f>
        <v>"反 應20",</v>
      </c>
      <c r="I22" s="100" t="str">
        <f>CONCATENATE(表格4_7112[[#This Row],[反應]]," = ",表格4_7112[[#This Row],[DEC]],",")</f>
        <v>//ID20 = 20,</v>
      </c>
    </row>
    <row r="23" spans="2:9" ht="15.75" x14ac:dyDescent="0.25">
      <c r="B23" s="57">
        <f t="shared" si="0"/>
        <v>21</v>
      </c>
      <c r="C23" s="76" t="str">
        <f>DEC2BIN(INT(表格4_7112[[#This Row],[DEC]]/(2^($J$1-COLUMN()))),3)</f>
        <v>101</v>
      </c>
      <c r="D23" s="77">
        <f>IF(bitand(表格4_7112[[#This Row],[DEC]],2)&gt;0,1,0)</f>
        <v>0</v>
      </c>
      <c r="E23" s="77">
        <f>IF(bitand(表格4_7112[[#This Row],[DEC]],1)&gt;0,1,0)</f>
        <v>1</v>
      </c>
      <c r="F23" s="170" t="str">
        <f xml:space="preserve"> CONCATENATE("//ID",表格4_7112[[#This Row],[DEC]])</f>
        <v>//ID21</v>
      </c>
      <c r="G23" s="172" t="str">
        <f xml:space="preserve"> "反 應" &amp; 表格4_7112[[#This Row],[DEC]]</f>
        <v>反 應21</v>
      </c>
      <c r="H23" s="91" t="str">
        <f>$A$1&amp;表格4_7112[[#This Row],[欄1]]&amp;$A$1&amp;","</f>
        <v>"反 應21",</v>
      </c>
      <c r="I23" s="100" t="str">
        <f>CONCATENATE(表格4_7112[[#This Row],[反應]]," = ",表格4_7112[[#This Row],[DEC]],",")</f>
        <v>//ID21 = 21,</v>
      </c>
    </row>
    <row r="24" spans="2:9" ht="15.75" x14ac:dyDescent="0.25">
      <c r="B24" s="57">
        <f t="shared" si="0"/>
        <v>22</v>
      </c>
      <c r="C24" s="76" t="str">
        <f>DEC2BIN(INT(表格4_7112[[#This Row],[DEC]]/(2^($J$1-COLUMN()))),3)</f>
        <v>101</v>
      </c>
      <c r="D24" s="77">
        <f>IF(bitand(表格4_7112[[#This Row],[DEC]],2)&gt;0,1,0)</f>
        <v>1</v>
      </c>
      <c r="E24" s="77">
        <f>IF(bitand(表格4_7112[[#This Row],[DEC]],1)&gt;0,1,0)</f>
        <v>0</v>
      </c>
      <c r="F24" s="171" t="str">
        <f xml:space="preserve"> CONCATENATE("//ID",表格4_7112[[#This Row],[DEC]])</f>
        <v>//ID22</v>
      </c>
      <c r="G24" s="173" t="str">
        <f xml:space="preserve"> "反 應" &amp; 表格4_7112[[#This Row],[DEC]]</f>
        <v>反 應22</v>
      </c>
      <c r="H24" s="91" t="str">
        <f>$A$1&amp;表格4_7112[[#This Row],[欄1]]&amp;$A$1&amp;","</f>
        <v>"反 應22",</v>
      </c>
      <c r="I24" s="100" t="str">
        <f>CONCATENATE(表格4_7112[[#This Row],[反應]]," = ",表格4_7112[[#This Row],[DEC]],",")</f>
        <v>//ID22 = 22,</v>
      </c>
    </row>
    <row r="25" spans="2:9" ht="15.75" x14ac:dyDescent="0.25">
      <c r="B25" s="57">
        <f t="shared" si="0"/>
        <v>23</v>
      </c>
      <c r="C25" s="76" t="str">
        <f>DEC2BIN(INT(表格4_7112[[#This Row],[DEC]]/(2^($J$1-COLUMN()))),3)</f>
        <v>101</v>
      </c>
      <c r="D25" s="77">
        <f>IF(bitand(表格4_7112[[#This Row],[DEC]],2)&gt;0,1,0)</f>
        <v>1</v>
      </c>
      <c r="E25" s="77">
        <f>IF(bitand(表格4_7112[[#This Row],[DEC]],1)&gt;0,1,0)</f>
        <v>1</v>
      </c>
      <c r="F25" s="155" t="str">
        <f xml:space="preserve"> CONCATENATE("//ID",表格4_7112[[#This Row],[DEC]])</f>
        <v>//ID23</v>
      </c>
      <c r="G25" s="156" t="str">
        <f xml:space="preserve"> "反 應" &amp; 表格4_7112[[#This Row],[DEC]]</f>
        <v>反 應23</v>
      </c>
      <c r="H25" s="91" t="str">
        <f>$A$1&amp;表格4_7112[[#This Row],[欄1]]&amp;$A$1&amp;","</f>
        <v>"反 應23",</v>
      </c>
      <c r="I25" s="100" t="str">
        <f>CONCATENATE(表格4_7112[[#This Row],[反應]]," = ",表格4_7112[[#This Row],[DEC]],",")</f>
        <v>//ID23 = 23,</v>
      </c>
    </row>
    <row r="26" spans="2:9" ht="15.75" x14ac:dyDescent="0.25">
      <c r="B26" s="57">
        <f t="shared" si="0"/>
        <v>24</v>
      </c>
      <c r="C26" s="75" t="str">
        <f>DEC2BIN(INT(表格4_7112[[#This Row],[DEC]]/(2^($J$1-COLUMN()))),3)</f>
        <v>110</v>
      </c>
      <c r="D26" s="77">
        <f>IF(bitand(表格4_7112[[#This Row],[DEC]],2)&gt;0,1,0)</f>
        <v>0</v>
      </c>
      <c r="E26" s="77">
        <f>IF(bitand(表格4_7112[[#This Row],[DEC]],1)&gt;0,1,0)</f>
        <v>0</v>
      </c>
      <c r="F26" s="157" t="str">
        <f xml:space="preserve"> CONCATENATE("//ID",表格4_7112[[#This Row],[DEC]])</f>
        <v>//ID24</v>
      </c>
      <c r="G26" s="157" t="str">
        <f xml:space="preserve"> "反 應" &amp; 表格4_7112[[#This Row],[DEC]]</f>
        <v>反 應24</v>
      </c>
      <c r="H26" s="91" t="str">
        <f>$A$1&amp;表格4_7112[[#This Row],[欄1]]&amp;$A$1&amp;","</f>
        <v>"反 應24",</v>
      </c>
      <c r="I26" s="100" t="str">
        <f>CONCATENATE(表格4_7112[[#This Row],[反應]]," = ",表格4_7112[[#This Row],[DEC]],",")</f>
        <v>//ID24 = 24,</v>
      </c>
    </row>
    <row r="27" spans="2:9" ht="15.75" x14ac:dyDescent="0.25">
      <c r="B27" s="57">
        <f t="shared" si="0"/>
        <v>25</v>
      </c>
      <c r="C27" s="75" t="str">
        <f>DEC2BIN(INT(表格4_7112[[#This Row],[DEC]]/(2^($J$1-COLUMN()))),3)</f>
        <v>110</v>
      </c>
      <c r="D27" s="77">
        <f>IF(bitand(表格4_7112[[#This Row],[DEC]],2)&gt;0,1,0)</f>
        <v>0</v>
      </c>
      <c r="E27" s="77">
        <f>IF(bitand(表格4_7112[[#This Row],[DEC]],1)&gt;0,1,0)</f>
        <v>1</v>
      </c>
      <c r="F27" s="158" t="str">
        <f xml:space="preserve"> CONCATENATE("//ID",表格4_7112[[#This Row],[DEC]])</f>
        <v>//ID25</v>
      </c>
      <c r="G27" s="158" t="str">
        <f xml:space="preserve"> "反 應" &amp; 表格4_7112[[#This Row],[DEC]]</f>
        <v>反 應25</v>
      </c>
      <c r="H27" s="91" t="str">
        <f>$A$1&amp;表格4_7112[[#This Row],[欄1]]&amp;$A$1&amp;","</f>
        <v>"反 應25",</v>
      </c>
      <c r="I27" s="100" t="str">
        <f>CONCATENATE(表格4_7112[[#This Row],[反應]]," = ",表格4_7112[[#This Row],[DEC]],",")</f>
        <v>//ID25 = 25,</v>
      </c>
    </row>
    <row r="28" spans="2:9" ht="15.75" x14ac:dyDescent="0.25">
      <c r="B28" s="57">
        <f t="shared" si="0"/>
        <v>26</v>
      </c>
      <c r="C28" s="75" t="str">
        <f>DEC2BIN(INT(表格4_7112[[#This Row],[DEC]]/(2^($J$1-COLUMN()))),3)</f>
        <v>110</v>
      </c>
      <c r="D28" s="77">
        <f>IF(bitand(表格4_7112[[#This Row],[DEC]],2)&gt;0,1,0)</f>
        <v>1</v>
      </c>
      <c r="E28" s="77">
        <f>IF(bitand(表格4_7112[[#This Row],[DEC]],1)&gt;0,1,0)</f>
        <v>0</v>
      </c>
      <c r="F28" s="159" t="str">
        <f xml:space="preserve"> CONCATENATE("//ID",表格4_7112[[#This Row],[DEC]])</f>
        <v>//ID26</v>
      </c>
      <c r="G28" s="159" t="str">
        <f xml:space="preserve"> "反 應" &amp; 表格4_7112[[#This Row],[DEC]]</f>
        <v>反 應26</v>
      </c>
      <c r="H28" s="91" t="str">
        <f>$A$1&amp;表格4_7112[[#This Row],[欄1]]&amp;$A$1&amp;","</f>
        <v>"反 應26",</v>
      </c>
      <c r="I28" s="100" t="str">
        <f>CONCATENATE(表格4_7112[[#This Row],[反應]]," = ",表格4_7112[[#This Row],[DEC]],",")</f>
        <v>//ID26 = 26,</v>
      </c>
    </row>
    <row r="29" spans="2:9" ht="15.75" x14ac:dyDescent="0.25">
      <c r="B29" s="57">
        <f t="shared" si="0"/>
        <v>27</v>
      </c>
      <c r="C29" s="75" t="str">
        <f>DEC2BIN(INT(表格4_7112[[#This Row],[DEC]]/(2^($J$1-COLUMN()))),3)</f>
        <v>110</v>
      </c>
      <c r="D29" s="77">
        <f>IF(bitand(表格4_7112[[#This Row],[DEC]],2)&gt;0,1,0)</f>
        <v>1</v>
      </c>
      <c r="E29" s="77">
        <f>IF(bitand(表格4_7112[[#This Row],[DEC]],1)&gt;0,1,0)</f>
        <v>1</v>
      </c>
      <c r="F29" s="160" t="str">
        <f xml:space="preserve"> CONCATENATE("//ID",表格4_7112[[#This Row],[DEC]])</f>
        <v>//ID27</v>
      </c>
      <c r="G29" s="160" t="str">
        <f xml:space="preserve"> "反 應" &amp; 表格4_7112[[#This Row],[DEC]]</f>
        <v>反 應27</v>
      </c>
      <c r="H29" s="91" t="str">
        <f>$A$1&amp;表格4_7112[[#This Row],[欄1]]&amp;$A$1&amp;","</f>
        <v>"反 應27",</v>
      </c>
      <c r="I29" s="100" t="str">
        <f>CONCATENATE(表格4_7112[[#This Row],[反應]]," = ",表格4_7112[[#This Row],[DEC]],",")</f>
        <v>//ID27 = 27,</v>
      </c>
    </row>
    <row r="30" spans="2:9" ht="15.75" x14ac:dyDescent="0.25">
      <c r="B30" s="57">
        <f t="shared" si="0"/>
        <v>28</v>
      </c>
      <c r="C30" s="78" t="str">
        <f>DEC2BIN(INT(表格4_7112[[#This Row],[DEC]]/(2^($J$1-COLUMN()))),3)</f>
        <v>111</v>
      </c>
      <c r="D30" s="77">
        <f>IF(bitand(表格4_7112[[#This Row],[DEC]],2)&gt;0,1,0)</f>
        <v>0</v>
      </c>
      <c r="E30" s="77">
        <f>IF(bitand(表格4_7112[[#This Row],[DEC]],1)&gt;0,1,0)</f>
        <v>0</v>
      </c>
      <c r="F30" s="163" t="str">
        <f xml:space="preserve"> CONCATENATE("//ID",表格4_7112[[#This Row],[DEC]])</f>
        <v>//ID28</v>
      </c>
      <c r="G30" s="163" t="str">
        <f xml:space="preserve"> "反 應" &amp; 表格4_7112[[#This Row],[DEC]]</f>
        <v>反 應28</v>
      </c>
      <c r="H30" s="91" t="str">
        <f>$A$1&amp;表格4_7112[[#This Row],[欄1]]&amp;$A$1&amp;","</f>
        <v>"反 應28",</v>
      </c>
      <c r="I30" s="100" t="str">
        <f>CONCATENATE(表格4_7112[[#This Row],[反應]]," = ",表格4_7112[[#This Row],[DEC]],",")</f>
        <v>//ID28 = 28,</v>
      </c>
    </row>
    <row r="31" spans="2:9" ht="15.75" x14ac:dyDescent="0.25">
      <c r="B31" s="57">
        <f t="shared" si="0"/>
        <v>29</v>
      </c>
      <c r="C31" s="78" t="str">
        <f>DEC2BIN(INT(表格4_7112[[#This Row],[DEC]]/(2^($J$1-COLUMN()))),3)</f>
        <v>111</v>
      </c>
      <c r="D31" s="77">
        <f>IF(bitand(表格4_7112[[#This Row],[DEC]],2)&gt;0,1,0)</f>
        <v>0</v>
      </c>
      <c r="E31" s="77">
        <f>IF(bitand(表格4_7112[[#This Row],[DEC]],1)&gt;0,1,0)</f>
        <v>1</v>
      </c>
      <c r="F31" s="164" t="str">
        <f xml:space="preserve"> CONCATENATE("//ID",表格4_7112[[#This Row],[DEC]])</f>
        <v>//ID29</v>
      </c>
      <c r="G31" s="164" t="str">
        <f xml:space="preserve"> "反 應" &amp; 表格4_7112[[#This Row],[DEC]]</f>
        <v>反 應29</v>
      </c>
      <c r="H31" s="91" t="str">
        <f>$A$1&amp;表格4_7112[[#This Row],[欄1]]&amp;$A$1&amp;","</f>
        <v>"反 應29",</v>
      </c>
      <c r="I31" s="100" t="str">
        <f>CONCATENATE(表格4_7112[[#This Row],[反應]]," = ",表格4_7112[[#This Row],[DEC]],",")</f>
        <v>//ID29 = 29,</v>
      </c>
    </row>
    <row r="32" spans="2:9" ht="15.75" x14ac:dyDescent="0.25">
      <c r="B32" s="57">
        <f t="shared" si="0"/>
        <v>30</v>
      </c>
      <c r="C32" s="78" t="str">
        <f>DEC2BIN(INT(表格4_7112[[#This Row],[DEC]]/(2^($J$1-COLUMN()))),3)</f>
        <v>111</v>
      </c>
      <c r="D32" s="77">
        <f>IF(bitand(表格4_7112[[#This Row],[DEC]],2)&gt;0,1,0)</f>
        <v>1</v>
      </c>
      <c r="E32" s="77">
        <f>IF(bitand(表格4_7112[[#This Row],[DEC]],1)&gt;0,1,0)</f>
        <v>0</v>
      </c>
      <c r="F32" s="161" t="str">
        <f xml:space="preserve"> CONCATENATE("//ID",表格4_7112[[#This Row],[DEC]])</f>
        <v>//ID30</v>
      </c>
      <c r="G32" s="161" t="str">
        <f xml:space="preserve"> "反 應" &amp; 表格4_7112[[#This Row],[DEC]]</f>
        <v>反 應30</v>
      </c>
      <c r="H32" s="91" t="str">
        <f>$A$1&amp;表格4_7112[[#This Row],[欄1]]&amp;$A$1&amp;","</f>
        <v>"反 應30",</v>
      </c>
      <c r="I32" s="100" t="str">
        <f>CONCATENATE(表格4_7112[[#This Row],[反應]]," = ",表格4_7112[[#This Row],[DEC]],",")</f>
        <v>//ID30 = 30,</v>
      </c>
    </row>
    <row r="33" spans="2:9" ht="15.75" x14ac:dyDescent="0.25">
      <c r="B33" s="57">
        <f t="shared" si="0"/>
        <v>31</v>
      </c>
      <c r="C33" s="78" t="str">
        <f>DEC2BIN(INT(表格4_7112[[#This Row],[DEC]]/(2^($J$1-COLUMN()))),3)</f>
        <v>111</v>
      </c>
      <c r="D33" s="77">
        <f>IF(bitand(表格4_7112[[#This Row],[DEC]],2)&gt;0,1,0)</f>
        <v>1</v>
      </c>
      <c r="E33" s="77">
        <f>IF(bitand(表格4_7112[[#This Row],[DEC]],1)&gt;0,1,0)</f>
        <v>1</v>
      </c>
      <c r="F33" s="162" t="str">
        <f xml:space="preserve"> CONCATENATE("//ID",表格4_7112[[#This Row],[DEC]])</f>
        <v>//ID31</v>
      </c>
      <c r="G33" s="162" t="str">
        <f xml:space="preserve"> "反 應" &amp; 表格4_7112[[#This Row],[DEC]]</f>
        <v>反 應31</v>
      </c>
      <c r="H33" s="91" t="str">
        <f>$A$1&amp;表格4_7112[[#This Row],[欄1]]&amp;$A$1&amp;","</f>
        <v>"反 應31",</v>
      </c>
      <c r="I33" s="100" t="str">
        <f>CONCATENATE(表格4_7112[[#This Row],[反應]]," = ",表格4_7112[[#This Row],[DEC]],",")</f>
        <v>//ID31 = 31,</v>
      </c>
    </row>
  </sheetData>
  <phoneticPr fontId="2" type="noConversion"/>
  <conditionalFormatting sqref="D2:E33">
    <cfRule type="cellIs" dxfId="2" priority="4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P257"/>
  <sheetViews>
    <sheetView zoomScaleNormal="100" workbookViewId="0">
      <pane ySplit="1" topLeftCell="A2" activePane="bottomLeft" state="frozen"/>
      <selection pane="bottomLeft" activeCell="P2" sqref="P2:P9"/>
    </sheetView>
  </sheetViews>
  <sheetFormatPr defaultRowHeight="15.75" x14ac:dyDescent="0.25"/>
  <cols>
    <col min="1" max="1" width="2.5" style="43" customWidth="1"/>
    <col min="2" max="2" width="4.625" style="43" customWidth="1"/>
    <col min="3" max="8" width="5.375" style="42" customWidth="1"/>
    <col min="9" max="9" width="9.25" style="215" customWidth="1"/>
    <col min="10" max="10" width="11.375" style="165" bestFit="1" customWidth="1"/>
    <col min="11" max="11" width="23.875" style="43" customWidth="1"/>
    <col min="12" max="12" width="16.125" style="43" bestFit="1" customWidth="1"/>
    <col min="13" max="13" width="2.5" style="43" customWidth="1"/>
    <col min="14" max="14" width="3.875" style="43" customWidth="1"/>
    <col min="15" max="15" width="11.375" style="43" bestFit="1" customWidth="1"/>
    <col min="16" max="16" width="9.75" style="43" bestFit="1" customWidth="1"/>
    <col min="17" max="17" width="2.5" style="43" customWidth="1"/>
    <col min="18" max="18" width="7.625" style="43" bestFit="1" customWidth="1"/>
    <col min="19" max="16384" width="9" style="43"/>
  </cols>
  <sheetData>
    <row r="1" spans="1:16" s="54" customFormat="1" ht="46.5" customHeight="1" x14ac:dyDescent="0.25">
      <c r="A1" s="54">
        <f>COLUMN(表格4_711[[#Headers],[反應]])-1</f>
        <v>8</v>
      </c>
      <c r="B1" s="54" t="s">
        <v>131</v>
      </c>
      <c r="C1" s="73" t="s">
        <v>187</v>
      </c>
      <c r="D1" s="120" t="s">
        <v>246</v>
      </c>
      <c r="E1" s="121" t="s">
        <v>247</v>
      </c>
      <c r="F1" s="121" t="s">
        <v>249</v>
      </c>
      <c r="G1" s="121" t="s">
        <v>250</v>
      </c>
      <c r="H1" s="121" t="s">
        <v>248</v>
      </c>
      <c r="I1" s="209" t="s">
        <v>252</v>
      </c>
      <c r="J1" s="128" t="s">
        <v>253</v>
      </c>
      <c r="K1" s="54" t="s">
        <v>193</v>
      </c>
      <c r="L1" s="128" t="s">
        <v>199</v>
      </c>
      <c r="N1" s="54" t="s">
        <v>251</v>
      </c>
      <c r="O1" s="54" t="s">
        <v>254</v>
      </c>
      <c r="P1" s="54" t="s">
        <v>255</v>
      </c>
    </row>
    <row r="2" spans="1:16" x14ac:dyDescent="0.25">
      <c r="B2" s="57">
        <f t="shared" ref="B2:B65" si="0">ROW()-2</f>
        <v>0</v>
      </c>
      <c r="C2" s="122" t="str">
        <f>DEC2BIN(表格4_711[[#This Row],[DEC]]/2^($A$1-COLUMN()),3)</f>
        <v>000</v>
      </c>
      <c r="D2" s="123">
        <f>IF(ISODD( INT(表格4_711[[#This Row],[DEC]]/(2^($A$1-COLUMN())))),1,0)</f>
        <v>0</v>
      </c>
      <c r="E2" s="123">
        <f>IF(ISODD( INT(表格4_711[[#This Row],[DEC]]/(2^($A$1-COLUMN())))),1,0)</f>
        <v>0</v>
      </c>
      <c r="F2" s="124">
        <f>IF(ISODD( INT(表格4_711[[#This Row],[DEC]]/(2^($A$1-COLUMN())))),1,0)</f>
        <v>0</v>
      </c>
      <c r="G2" s="123">
        <f>IF(ISODD( INT(表格4_711[[#This Row],[DEC]]/(2^($A$1-COLUMN())))),1,0)</f>
        <v>0</v>
      </c>
      <c r="H2" s="123">
        <f>IF(ISODD( INT(表格4_711[[#This Row],[DEC]]/(2^($A$1-COLUMN())))),1,0)</f>
        <v>0</v>
      </c>
      <c r="I2" s="192" t="str">
        <f xml:space="preserve"> IF(bitand(表格4_711[[#This Row],[DEC]],7)&lt;1,"//", VLOOKUP(INT(表格4_711[[#This Row],[DEC]]/8),表格4_7112[],5,FALSE))</f>
        <v>//</v>
      </c>
      <c r="J2" s="145" t="str">
        <f xml:space="preserve"> VLOOKUP(bitand(表格4_711[[#This Row],[DEC]],8-1),表格2[],2,FALSE)</f>
        <v/>
      </c>
      <c r="K2" s="144" t="str">
        <f>CONCATENATE(表格4_711[[#This Row],[反應]],表格4_711[[#This Row],[補正]]," = ",表格4_711[[#This Row],[DEC]],",")</f>
        <v>// = 0,</v>
      </c>
      <c r="L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  <c r="N2" s="129">
        <f t="shared" ref="N2:N9" si="1">ROW(N2)-2</f>
        <v>0</v>
      </c>
      <c r="O2" s="166" t="str">
        <f>""</f>
        <v/>
      </c>
      <c r="P2" s="206" t="s">
        <v>279</v>
      </c>
    </row>
    <row r="3" spans="1:16" x14ac:dyDescent="0.25">
      <c r="B3" s="57">
        <f t="shared" si="0"/>
        <v>1</v>
      </c>
      <c r="C3" s="122" t="str">
        <f>DEC2BIN(表格4_711[[#This Row],[DEC]]/2^($A$1-COLUMN()),3)</f>
        <v>000</v>
      </c>
      <c r="D3" s="123">
        <f>IF(ISODD( INT(表格4_711[[#This Row],[DEC]]/(2^($A$1-COLUMN())))),1,0)</f>
        <v>0</v>
      </c>
      <c r="E3" s="123">
        <f>IF(ISODD( INT(表格4_711[[#This Row],[DEC]]/(2^($A$1-COLUMN())))),1,0)</f>
        <v>0</v>
      </c>
      <c r="F3" s="124">
        <f>IF(ISODD( INT(表格4_711[[#This Row],[DEC]]/(2^($A$1-COLUMN())))),1,0)</f>
        <v>0</v>
      </c>
      <c r="G3" s="123">
        <f>IF(ISODD( INT(表格4_711[[#This Row],[DEC]]/(2^($A$1-COLUMN())))),1,0)</f>
        <v>0</v>
      </c>
      <c r="H3" s="123">
        <f>IF(ISODD( INT(表格4_711[[#This Row],[DEC]]/(2^($A$1-COLUMN())))),1,0)</f>
        <v>1</v>
      </c>
      <c r="I3" s="176" t="str">
        <f xml:space="preserve"> IF(bitand(表格4_711[[#This Row],[DEC]],7)&lt;1,"//", VLOOKUP(INT(表格4_711[[#This Row],[DEC]]/8),表格4_7112[],5,FALSE))</f>
        <v>//ID0</v>
      </c>
      <c r="J3" s="130" t="str">
        <f xml:space="preserve"> VLOOKUP(bitand(表格4_711[[#This Row],[DEC]],8-1),表格2[],2,FALSE)</f>
        <v/>
      </c>
      <c r="K3" s="130" t="str">
        <f>CONCATENATE(表格4_711[[#This Row],[反應]],表格4_711[[#This Row],[補正]]," = ",表格4_711[[#This Row],[DEC]],",")</f>
        <v>//ID0 = 1,</v>
      </c>
      <c r="L3" s="13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應0",</v>
      </c>
      <c r="N3" s="129">
        <f t="shared" si="1"/>
        <v>1</v>
      </c>
      <c r="O3" s="166" t="str">
        <f>""</f>
        <v/>
      </c>
      <c r="P3" s="206" t="s">
        <v>279</v>
      </c>
    </row>
    <row r="4" spans="1:16" x14ac:dyDescent="0.25">
      <c r="B4" s="57">
        <f t="shared" si="0"/>
        <v>2</v>
      </c>
      <c r="C4" s="122" t="str">
        <f>DEC2BIN(表格4_711[[#This Row],[DEC]]/2^($A$1-COLUMN()),3)</f>
        <v>000</v>
      </c>
      <c r="D4" s="123">
        <f>IF(ISODD( INT(表格4_711[[#This Row],[DEC]]/(2^($A$1-COLUMN())))),1,0)</f>
        <v>0</v>
      </c>
      <c r="E4" s="123">
        <f>IF(ISODD( INT(表格4_711[[#This Row],[DEC]]/(2^($A$1-COLUMN())))),1,0)</f>
        <v>0</v>
      </c>
      <c r="F4" s="124">
        <f>IF(ISODD( INT(表格4_711[[#This Row],[DEC]]/(2^($A$1-COLUMN())))),1,0)</f>
        <v>0</v>
      </c>
      <c r="G4" s="123">
        <f>IF(ISODD( INT(表格4_711[[#This Row],[DEC]]/(2^($A$1-COLUMN())))),1,0)</f>
        <v>1</v>
      </c>
      <c r="H4" s="123">
        <f>IF(ISODD( INT(表格4_711[[#This Row],[DEC]]/(2^($A$1-COLUMN())))),1,0)</f>
        <v>0</v>
      </c>
      <c r="I4" s="210" t="str">
        <f xml:space="preserve"> IF(bitand(表格4_711[[#This Row],[DEC]],7)&lt;1,"//", VLOOKUP(INT(表格4_711[[#This Row],[DEC]]/8),表格4_7112[],5,FALSE))</f>
        <v>//ID0</v>
      </c>
      <c r="J4" s="207" t="str">
        <f xml:space="preserve"> VLOOKUP(bitand(表格4_711[[#This Row],[DEC]],8-1),表格2[],2,FALSE)</f>
        <v>_Clear</v>
      </c>
      <c r="K4" s="169" t="str">
        <f>CONCATENATE(表格4_711[[#This Row],[反應]],表格4_711[[#This Row],[補正]]," = ",表格4_711[[#This Row],[DEC]],",")</f>
        <v>//ID0_Clear = 2,</v>
      </c>
      <c r="L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應0_解除",</v>
      </c>
      <c r="N4" s="129">
        <f t="shared" si="1"/>
        <v>2</v>
      </c>
      <c r="O4" s="166" t="s">
        <v>273</v>
      </c>
      <c r="P4" s="166" t="s">
        <v>280</v>
      </c>
    </row>
    <row r="5" spans="1:16" x14ac:dyDescent="0.25">
      <c r="B5" s="57">
        <f t="shared" si="0"/>
        <v>3</v>
      </c>
      <c r="C5" s="122" t="str">
        <f>DEC2BIN(表格4_711[[#This Row],[DEC]]/2^($A$1-COLUMN()),3)</f>
        <v>000</v>
      </c>
      <c r="D5" s="123">
        <f>IF(ISODD( INT(表格4_711[[#This Row],[DEC]]/(2^($A$1-COLUMN())))),1,0)</f>
        <v>0</v>
      </c>
      <c r="E5" s="123">
        <f>IF(ISODD( INT(表格4_711[[#This Row],[DEC]]/(2^($A$1-COLUMN())))),1,0)</f>
        <v>0</v>
      </c>
      <c r="F5" s="124">
        <f>IF(ISODD( INT(表格4_711[[#This Row],[DEC]]/(2^($A$1-COLUMN())))),1,0)</f>
        <v>0</v>
      </c>
      <c r="G5" s="123">
        <f>IF(ISODD( INT(表格4_711[[#This Row],[DEC]]/(2^($A$1-COLUMN())))),1,0)</f>
        <v>1</v>
      </c>
      <c r="H5" s="123">
        <f>IF(ISODD( INT(表格4_711[[#This Row],[DEC]]/(2^($A$1-COLUMN())))),1,0)</f>
        <v>1</v>
      </c>
      <c r="I5" s="211" t="str">
        <f xml:space="preserve"> IF(bitand(表格4_711[[#This Row],[DEC]],7)&lt;1,"//", VLOOKUP(INT(表格4_711[[#This Row],[DEC]]/8),表格4_7112[],5,FALSE))</f>
        <v>//ID0</v>
      </c>
      <c r="J5" s="208" t="str">
        <f xml:space="preserve"> VLOOKUP(bitand(表格4_711[[#This Row],[DEC]],8-1),表格2[],2,FALSE)</f>
        <v>_Spread</v>
      </c>
      <c r="K5" s="169" t="str">
        <f>CONCATENATE(表格4_711[[#This Row],[反應]],表格4_711[[#This Row],[補正]]," = ",表格4_711[[#This Row],[DEC]],",")</f>
        <v>//ID0_Spread = 3,</v>
      </c>
      <c r="L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應0_散播",</v>
      </c>
      <c r="N5" s="129">
        <f t="shared" si="1"/>
        <v>3</v>
      </c>
      <c r="O5" s="166" t="s">
        <v>274</v>
      </c>
      <c r="P5" s="166" t="s">
        <v>281</v>
      </c>
    </row>
    <row r="6" spans="1:16" x14ac:dyDescent="0.25">
      <c r="B6" s="57">
        <f t="shared" si="0"/>
        <v>4</v>
      </c>
      <c r="C6" s="122" t="str">
        <f>DEC2BIN(表格4_711[[#This Row],[DEC]]/2^($A$1-COLUMN()),3)</f>
        <v>000</v>
      </c>
      <c r="D6" s="123">
        <f>IF(ISODD( INT(表格4_711[[#This Row],[DEC]]/(2^($A$1-COLUMN())))),1,0)</f>
        <v>0</v>
      </c>
      <c r="E6" s="123">
        <f>IF(ISODD( INT(表格4_711[[#This Row],[DEC]]/(2^($A$1-COLUMN())))),1,0)</f>
        <v>0</v>
      </c>
      <c r="F6" s="124">
        <f>IF(ISODD( INT(表格4_711[[#This Row],[DEC]]/(2^($A$1-COLUMN())))),1,0)</f>
        <v>1</v>
      </c>
      <c r="G6" s="123">
        <f>IF(ISODD( INT(表格4_711[[#This Row],[DEC]]/(2^($A$1-COLUMN())))),1,0)</f>
        <v>0</v>
      </c>
      <c r="H6" s="123">
        <f>IF(ISODD( INT(表格4_711[[#This Row],[DEC]]/(2^($A$1-COLUMN())))),1,0)</f>
        <v>0</v>
      </c>
      <c r="I6" s="212" t="str">
        <f xml:space="preserve"> IF(bitand(表格4_711[[#This Row],[DEC]],7)&lt;1,"//", VLOOKUP(INT(表格4_711[[#This Row],[DEC]]/8),表格4_7112[],5,FALSE))</f>
        <v>//ID0</v>
      </c>
      <c r="J6" s="147" t="str">
        <f xml:space="preserve"> VLOOKUP(bitand(表格4_711[[#This Row],[DEC]],8-1),表格2[],2,FALSE)</f>
        <v>_RangeDown</v>
      </c>
      <c r="K6" s="169" t="str">
        <f>CONCATENATE(表格4_711[[#This Row],[反應]],表格4_711[[#This Row],[補正]]," = ",表格4_711[[#This Row],[DEC]],",")</f>
        <v>//ID0_RangeDown = 4,</v>
      </c>
      <c r="L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應0_範圍降低",</v>
      </c>
      <c r="N6" s="129">
        <f t="shared" si="1"/>
        <v>4</v>
      </c>
      <c r="O6" s="166" t="s">
        <v>275</v>
      </c>
      <c r="P6" s="166" t="s">
        <v>282</v>
      </c>
    </row>
    <row r="7" spans="1:16" x14ac:dyDescent="0.25">
      <c r="B7" s="57">
        <f t="shared" si="0"/>
        <v>5</v>
      </c>
      <c r="C7" s="122" t="str">
        <f>DEC2BIN(表格4_711[[#This Row],[DEC]]/2^($A$1-COLUMN()),3)</f>
        <v>000</v>
      </c>
      <c r="D7" s="123">
        <f>IF(ISODD( INT(表格4_711[[#This Row],[DEC]]/(2^($A$1-COLUMN())))),1,0)</f>
        <v>0</v>
      </c>
      <c r="E7" s="123">
        <f>IF(ISODD( INT(表格4_711[[#This Row],[DEC]]/(2^($A$1-COLUMN())))),1,0)</f>
        <v>0</v>
      </c>
      <c r="F7" s="124">
        <f>IF(ISODD( INT(表格4_711[[#This Row],[DEC]]/(2^($A$1-COLUMN())))),1,0)</f>
        <v>1</v>
      </c>
      <c r="G7" s="123">
        <f>IF(ISODD( INT(表格4_711[[#This Row],[DEC]]/(2^($A$1-COLUMN())))),1,0)</f>
        <v>0</v>
      </c>
      <c r="H7" s="123">
        <f>IF(ISODD( INT(表格4_711[[#This Row],[DEC]]/(2^($A$1-COLUMN())))),1,0)</f>
        <v>1</v>
      </c>
      <c r="I7" s="212" t="str">
        <f xml:space="preserve"> IF(bitand(表格4_711[[#This Row],[DEC]],7)&lt;1,"//", VLOOKUP(INT(表格4_711[[#This Row],[DEC]]/8),表格4_7112[],5,FALSE))</f>
        <v>//ID0</v>
      </c>
      <c r="J7" s="147" t="str">
        <f xml:space="preserve"> VLOOKUP(bitand(表格4_711[[#This Row],[DEC]],8-1),表格2[],2,FALSE)</f>
        <v>_RangeUP</v>
      </c>
      <c r="K7" s="169" t="str">
        <f>CONCATENATE(表格4_711[[#This Row],[反應]],表格4_711[[#This Row],[補正]]," = ",表格4_711[[#This Row],[DEC]],",")</f>
        <v>//ID0_RangeUP = 5,</v>
      </c>
      <c r="L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應0_範圍提昇",</v>
      </c>
      <c r="N7" s="129">
        <f t="shared" si="1"/>
        <v>5</v>
      </c>
      <c r="O7" s="166" t="s">
        <v>276</v>
      </c>
      <c r="P7" s="166" t="s">
        <v>283</v>
      </c>
    </row>
    <row r="8" spans="1:16" x14ac:dyDescent="0.25">
      <c r="B8" s="57">
        <f t="shared" si="0"/>
        <v>6</v>
      </c>
      <c r="C8" s="122" t="str">
        <f>DEC2BIN(表格4_711[[#This Row],[DEC]]/2^($A$1-COLUMN()),3)</f>
        <v>000</v>
      </c>
      <c r="D8" s="123">
        <f>IF(ISODD( INT(表格4_711[[#This Row],[DEC]]/(2^($A$1-COLUMN())))),1,0)</f>
        <v>0</v>
      </c>
      <c r="E8" s="123">
        <f>IF(ISODD( INT(表格4_711[[#This Row],[DEC]]/(2^($A$1-COLUMN())))),1,0)</f>
        <v>0</v>
      </c>
      <c r="F8" s="124">
        <f>IF(ISODD( INT(表格4_711[[#This Row],[DEC]]/(2^($A$1-COLUMN())))),1,0)</f>
        <v>1</v>
      </c>
      <c r="G8" s="123">
        <f>IF(ISODD( INT(表格4_711[[#This Row],[DEC]]/(2^($A$1-COLUMN())))),1,0)</f>
        <v>1</v>
      </c>
      <c r="H8" s="123">
        <f>IF(ISODD( INT(表格4_711[[#This Row],[DEC]]/(2^($A$1-COLUMN())))),1,0)</f>
        <v>0</v>
      </c>
      <c r="I8" s="212" t="str">
        <f xml:space="preserve"> IF(bitand(表格4_711[[#This Row],[DEC]],7)&lt;1,"//", VLOOKUP(INT(表格4_711[[#This Row],[DEC]]/8),表格4_7112[],5,FALSE))</f>
        <v>//ID0</v>
      </c>
      <c r="J8" s="147" t="str">
        <f xml:space="preserve"> VLOOKUP(bitand(表格4_711[[#This Row],[DEC]],8-1),表格2[],2,FALSE)</f>
        <v>_IntensityDown</v>
      </c>
      <c r="K8" s="169" t="str">
        <f>CONCATENATE(表格4_711[[#This Row],[反應]],表格4_711[[#This Row],[補正]]," = ",表格4_711[[#This Row],[DEC]],",")</f>
        <v>//ID0_IntensityDown = 6,</v>
      </c>
      <c r="L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應0_強度降低",</v>
      </c>
      <c r="N8" s="129">
        <f t="shared" si="1"/>
        <v>6</v>
      </c>
      <c r="O8" s="166" t="s">
        <v>277</v>
      </c>
      <c r="P8" s="166" t="s">
        <v>284</v>
      </c>
    </row>
    <row r="9" spans="1:16" x14ac:dyDescent="0.25">
      <c r="B9" s="57">
        <f t="shared" si="0"/>
        <v>7</v>
      </c>
      <c r="C9" s="122" t="str">
        <f>DEC2BIN(表格4_711[[#This Row],[DEC]]/2^($A$1-COLUMN()),3)</f>
        <v>000</v>
      </c>
      <c r="D9" s="123">
        <f>IF(ISODD( INT(表格4_711[[#This Row],[DEC]]/(2^($A$1-COLUMN())))),1,0)</f>
        <v>0</v>
      </c>
      <c r="E9" s="123">
        <f>IF(ISODD( INT(表格4_711[[#This Row],[DEC]]/(2^($A$1-COLUMN())))),1,0)</f>
        <v>0</v>
      </c>
      <c r="F9" s="124">
        <f>IF(ISODD( INT(表格4_711[[#This Row],[DEC]]/(2^($A$1-COLUMN())))),1,0)</f>
        <v>1</v>
      </c>
      <c r="G9" s="123">
        <f>IF(ISODD( INT(表格4_711[[#This Row],[DEC]]/(2^($A$1-COLUMN())))),1,0)</f>
        <v>1</v>
      </c>
      <c r="H9" s="123">
        <f>IF(ISODD( INT(表格4_711[[#This Row],[DEC]]/(2^($A$1-COLUMN())))),1,0)</f>
        <v>1</v>
      </c>
      <c r="I9" s="212" t="str">
        <f xml:space="preserve"> IF(bitand(表格4_711[[#This Row],[DEC]],7)&lt;1,"//", VLOOKUP(INT(表格4_711[[#This Row],[DEC]]/8),表格4_7112[],5,FALSE))</f>
        <v>//ID0</v>
      </c>
      <c r="J9" s="147" t="str">
        <f xml:space="preserve"> VLOOKUP(bitand(表格4_711[[#This Row],[DEC]],8-1),表格2[],2,FALSE)</f>
        <v>_IntensityUp</v>
      </c>
      <c r="K9" s="169" t="str">
        <f>CONCATENATE(表格4_711[[#This Row],[反應]],表格4_711[[#This Row],[補正]]," = ",表格4_711[[#This Row],[DEC]],",")</f>
        <v>//ID0_IntensityUp = 7,</v>
      </c>
      <c r="L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應0_強度提昇",</v>
      </c>
      <c r="N9" s="129">
        <f t="shared" si="1"/>
        <v>7</v>
      </c>
      <c r="O9" s="166" t="s">
        <v>278</v>
      </c>
      <c r="P9" s="166" t="s">
        <v>285</v>
      </c>
    </row>
    <row r="10" spans="1:16" x14ac:dyDescent="0.25">
      <c r="B10" s="57">
        <f t="shared" si="0"/>
        <v>8</v>
      </c>
      <c r="C10" s="122" t="str">
        <f>DEC2BIN(表格4_711[[#This Row],[DEC]]/2^($A$1-COLUMN()),3)</f>
        <v>000</v>
      </c>
      <c r="D10" s="123">
        <f>IF(ISODD( INT(表格4_711[[#This Row],[DEC]]/(2^($A$1-COLUMN())))),1,0)</f>
        <v>0</v>
      </c>
      <c r="E10" s="123">
        <f>IF(ISODD( INT(表格4_711[[#This Row],[DEC]]/(2^($A$1-COLUMN())))),1,0)</f>
        <v>1</v>
      </c>
      <c r="F10" s="124">
        <f>IF(ISODD( INT(表格4_711[[#This Row],[DEC]]/(2^($A$1-COLUMN())))),1,0)</f>
        <v>0</v>
      </c>
      <c r="G10" s="123">
        <f>IF(ISODD( INT(表格4_711[[#This Row],[DEC]]/(2^($A$1-COLUMN())))),1,0)</f>
        <v>0</v>
      </c>
      <c r="H10" s="123">
        <f>IF(ISODD( INT(表格4_711[[#This Row],[DEC]]/(2^($A$1-COLUMN())))),1,0)</f>
        <v>0</v>
      </c>
      <c r="I10" s="192" t="str">
        <f xml:space="preserve"> IF(bitand(表格4_711[[#This Row],[DEC]],7)&lt;1,"//", VLOOKUP(INT(表格4_711[[#This Row],[DEC]]/8),表格4_7112[],5,FALSE))</f>
        <v>//</v>
      </c>
      <c r="J10" s="145" t="str">
        <f xml:space="preserve"> VLOOKUP(bitand(表格4_711[[#This Row],[DEC]],8-1),表格2[],2,FALSE)</f>
        <v/>
      </c>
      <c r="K10" s="144" t="str">
        <f>CONCATENATE(表格4_711[[#This Row],[反應]],表格4_711[[#This Row],[補正]]," = ",表格4_711[[#This Row],[DEC]],",")</f>
        <v>// = 8,</v>
      </c>
      <c r="L1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1" spans="1:16" x14ac:dyDescent="0.25">
      <c r="B11" s="57">
        <f t="shared" si="0"/>
        <v>9</v>
      </c>
      <c r="C11" s="122" t="str">
        <f>DEC2BIN(表格4_711[[#This Row],[DEC]]/2^($A$1-COLUMN()),3)</f>
        <v>000</v>
      </c>
      <c r="D11" s="123">
        <f>IF(ISODD( INT(表格4_711[[#This Row],[DEC]]/(2^($A$1-COLUMN())))),1,0)</f>
        <v>0</v>
      </c>
      <c r="E11" s="123">
        <f>IF(ISODD( INT(表格4_711[[#This Row],[DEC]]/(2^($A$1-COLUMN())))),1,0)</f>
        <v>1</v>
      </c>
      <c r="F11" s="124">
        <f>IF(ISODD( INT(表格4_711[[#This Row],[DEC]]/(2^($A$1-COLUMN())))),1,0)</f>
        <v>0</v>
      </c>
      <c r="G11" s="123">
        <f>IF(ISODD( INT(表格4_711[[#This Row],[DEC]]/(2^($A$1-COLUMN())))),1,0)</f>
        <v>0</v>
      </c>
      <c r="H11" s="123">
        <f>IF(ISODD( INT(表格4_711[[#This Row],[DEC]]/(2^($A$1-COLUMN())))),1,0)</f>
        <v>1</v>
      </c>
      <c r="I11" s="177" t="str">
        <f xml:space="preserve"> IF(bitand(表格4_711[[#This Row],[DEC]],7)&lt;1,"//", VLOOKUP(INT(表格4_711[[#This Row],[DEC]]/8),表格4_7112[],5,FALSE))</f>
        <v>//ID1</v>
      </c>
      <c r="J11" s="131" t="str">
        <f xml:space="preserve"> VLOOKUP(bitand(表格4_711[[#This Row],[DEC]],8-1),表格2[],2,FALSE)</f>
        <v/>
      </c>
      <c r="K11" s="131" t="str">
        <f>CONCATENATE(表格4_711[[#This Row],[反應]],表格4_711[[#This Row],[補正]]," = ",表格4_711[[#This Row],[DEC]],",")</f>
        <v>//ID1 = 9,</v>
      </c>
      <c r="L11" s="13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應1",</v>
      </c>
    </row>
    <row r="12" spans="1:16" x14ac:dyDescent="0.25">
      <c r="B12" s="57">
        <f t="shared" si="0"/>
        <v>10</v>
      </c>
      <c r="C12" s="122" t="str">
        <f>DEC2BIN(表格4_711[[#This Row],[DEC]]/2^($A$1-COLUMN()),3)</f>
        <v>000</v>
      </c>
      <c r="D12" s="123">
        <f>IF(ISODD( INT(表格4_711[[#This Row],[DEC]]/(2^($A$1-COLUMN())))),1,0)</f>
        <v>0</v>
      </c>
      <c r="E12" s="123">
        <f>IF(ISODD( INT(表格4_711[[#This Row],[DEC]]/(2^($A$1-COLUMN())))),1,0)</f>
        <v>1</v>
      </c>
      <c r="F12" s="124">
        <f>IF(ISODD( INT(表格4_711[[#This Row],[DEC]]/(2^($A$1-COLUMN())))),1,0)</f>
        <v>0</v>
      </c>
      <c r="G12" s="123">
        <f>IF(ISODD( INT(表格4_711[[#This Row],[DEC]]/(2^($A$1-COLUMN())))),1,0)</f>
        <v>1</v>
      </c>
      <c r="H12" s="123">
        <f>IF(ISODD( INT(表格4_711[[#This Row],[DEC]]/(2^($A$1-COLUMN())))),1,0)</f>
        <v>0</v>
      </c>
      <c r="I12" s="210" t="str">
        <f xml:space="preserve"> IF(bitand(表格4_711[[#This Row],[DEC]],7)&lt;1,"//", VLOOKUP(INT(表格4_711[[#This Row],[DEC]]/8),表格4_7112[],5,FALSE))</f>
        <v>//ID1</v>
      </c>
      <c r="J12" s="207" t="str">
        <f xml:space="preserve"> VLOOKUP(bitand(表格4_711[[#This Row],[DEC]],8-1),表格2[],2,FALSE)</f>
        <v>_Clear</v>
      </c>
      <c r="K12" s="169" t="str">
        <f>CONCATENATE(表格4_711[[#This Row],[反應]],表格4_711[[#This Row],[補正]]," = ",表格4_711[[#This Row],[DEC]],",")</f>
        <v>//ID1_Clear = 10,</v>
      </c>
      <c r="L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應1_解除",</v>
      </c>
    </row>
    <row r="13" spans="1:16" x14ac:dyDescent="0.25">
      <c r="B13" s="57">
        <f t="shared" si="0"/>
        <v>11</v>
      </c>
      <c r="C13" s="122" t="str">
        <f>DEC2BIN(表格4_711[[#This Row],[DEC]]/2^($A$1-COLUMN()),3)</f>
        <v>000</v>
      </c>
      <c r="D13" s="123">
        <f>IF(ISODD( INT(表格4_711[[#This Row],[DEC]]/(2^($A$1-COLUMN())))),1,0)</f>
        <v>0</v>
      </c>
      <c r="E13" s="123">
        <f>IF(ISODD( INT(表格4_711[[#This Row],[DEC]]/(2^($A$1-COLUMN())))),1,0)</f>
        <v>1</v>
      </c>
      <c r="F13" s="124">
        <f>IF(ISODD( INT(表格4_711[[#This Row],[DEC]]/(2^($A$1-COLUMN())))),1,0)</f>
        <v>0</v>
      </c>
      <c r="G13" s="123">
        <f>IF(ISODD( INT(表格4_711[[#This Row],[DEC]]/(2^($A$1-COLUMN())))),1,0)</f>
        <v>1</v>
      </c>
      <c r="H13" s="123">
        <f>IF(ISODD( INT(表格4_711[[#This Row],[DEC]]/(2^($A$1-COLUMN())))),1,0)</f>
        <v>1</v>
      </c>
      <c r="I13" s="211" t="str">
        <f xml:space="preserve"> IF(bitand(表格4_711[[#This Row],[DEC]],7)&lt;1,"//", VLOOKUP(INT(表格4_711[[#This Row],[DEC]]/8),表格4_7112[],5,FALSE))</f>
        <v>//ID1</v>
      </c>
      <c r="J13" s="208" t="str">
        <f xml:space="preserve"> VLOOKUP(bitand(表格4_711[[#This Row],[DEC]],8-1),表格2[],2,FALSE)</f>
        <v>_Spread</v>
      </c>
      <c r="K13" s="169" t="str">
        <f>CONCATENATE(表格4_711[[#This Row],[反應]],表格4_711[[#This Row],[補正]]," = ",表格4_711[[#This Row],[DEC]],",")</f>
        <v>//ID1_Spread = 11,</v>
      </c>
      <c r="L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應1_散播",</v>
      </c>
    </row>
    <row r="14" spans="1:16" x14ac:dyDescent="0.25">
      <c r="B14" s="57">
        <f t="shared" si="0"/>
        <v>12</v>
      </c>
      <c r="C14" s="122" t="str">
        <f>DEC2BIN(表格4_711[[#This Row],[DEC]]/2^($A$1-COLUMN()),3)</f>
        <v>000</v>
      </c>
      <c r="D14" s="123">
        <f>IF(ISODD( INT(表格4_711[[#This Row],[DEC]]/(2^($A$1-COLUMN())))),1,0)</f>
        <v>0</v>
      </c>
      <c r="E14" s="123">
        <f>IF(ISODD( INT(表格4_711[[#This Row],[DEC]]/(2^($A$1-COLUMN())))),1,0)</f>
        <v>1</v>
      </c>
      <c r="F14" s="124">
        <f>IF(ISODD( INT(表格4_711[[#This Row],[DEC]]/(2^($A$1-COLUMN())))),1,0)</f>
        <v>1</v>
      </c>
      <c r="G14" s="123">
        <f>IF(ISODD( INT(表格4_711[[#This Row],[DEC]]/(2^($A$1-COLUMN())))),1,0)</f>
        <v>0</v>
      </c>
      <c r="H14" s="123">
        <f>IF(ISODD( INT(表格4_711[[#This Row],[DEC]]/(2^($A$1-COLUMN())))),1,0)</f>
        <v>0</v>
      </c>
      <c r="I14" s="212" t="str">
        <f xml:space="preserve"> IF(bitand(表格4_711[[#This Row],[DEC]],7)&lt;1,"//", VLOOKUP(INT(表格4_711[[#This Row],[DEC]]/8),表格4_7112[],5,FALSE))</f>
        <v>//ID1</v>
      </c>
      <c r="J14" s="147" t="str">
        <f xml:space="preserve"> VLOOKUP(bitand(表格4_711[[#This Row],[DEC]],8-1),表格2[],2,FALSE)</f>
        <v>_RangeDown</v>
      </c>
      <c r="K14" s="169" t="str">
        <f>CONCATENATE(表格4_711[[#This Row],[反應]],表格4_711[[#This Row],[補正]]," = ",表格4_711[[#This Row],[DEC]],",")</f>
        <v>//ID1_RangeDown = 12,</v>
      </c>
      <c r="L1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應1_範圍降低",</v>
      </c>
    </row>
    <row r="15" spans="1:16" x14ac:dyDescent="0.25">
      <c r="B15" s="57">
        <f t="shared" si="0"/>
        <v>13</v>
      </c>
      <c r="C15" s="122" t="str">
        <f>DEC2BIN(表格4_711[[#This Row],[DEC]]/2^($A$1-COLUMN()),3)</f>
        <v>000</v>
      </c>
      <c r="D15" s="123">
        <f>IF(ISODD( INT(表格4_711[[#This Row],[DEC]]/(2^($A$1-COLUMN())))),1,0)</f>
        <v>0</v>
      </c>
      <c r="E15" s="123">
        <f>IF(ISODD( INT(表格4_711[[#This Row],[DEC]]/(2^($A$1-COLUMN())))),1,0)</f>
        <v>1</v>
      </c>
      <c r="F15" s="124">
        <f>IF(ISODD( INT(表格4_711[[#This Row],[DEC]]/(2^($A$1-COLUMN())))),1,0)</f>
        <v>1</v>
      </c>
      <c r="G15" s="123">
        <f>IF(ISODD( INT(表格4_711[[#This Row],[DEC]]/(2^($A$1-COLUMN())))),1,0)</f>
        <v>0</v>
      </c>
      <c r="H15" s="123">
        <f>IF(ISODD( INT(表格4_711[[#This Row],[DEC]]/(2^($A$1-COLUMN())))),1,0)</f>
        <v>1</v>
      </c>
      <c r="I15" s="212" t="str">
        <f xml:space="preserve"> IF(bitand(表格4_711[[#This Row],[DEC]],7)&lt;1,"//", VLOOKUP(INT(表格4_711[[#This Row],[DEC]]/8),表格4_7112[],5,FALSE))</f>
        <v>//ID1</v>
      </c>
      <c r="J15" s="147" t="str">
        <f xml:space="preserve"> VLOOKUP(bitand(表格4_711[[#This Row],[DEC]],8-1),表格2[],2,FALSE)</f>
        <v>_RangeUP</v>
      </c>
      <c r="K15" s="169" t="str">
        <f>CONCATENATE(表格4_711[[#This Row],[反應]],表格4_711[[#This Row],[補正]]," = ",表格4_711[[#This Row],[DEC]],",")</f>
        <v>//ID1_RangeUP = 13,</v>
      </c>
      <c r="L1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應1_範圍提昇",</v>
      </c>
    </row>
    <row r="16" spans="1:16" x14ac:dyDescent="0.25">
      <c r="B16" s="57">
        <f t="shared" si="0"/>
        <v>14</v>
      </c>
      <c r="C16" s="122" t="str">
        <f>DEC2BIN(表格4_711[[#This Row],[DEC]]/2^($A$1-COLUMN()),3)</f>
        <v>000</v>
      </c>
      <c r="D16" s="123">
        <f>IF(ISODD( INT(表格4_711[[#This Row],[DEC]]/(2^($A$1-COLUMN())))),1,0)</f>
        <v>0</v>
      </c>
      <c r="E16" s="123">
        <f>IF(ISODD( INT(表格4_711[[#This Row],[DEC]]/(2^($A$1-COLUMN())))),1,0)</f>
        <v>1</v>
      </c>
      <c r="F16" s="124">
        <f>IF(ISODD( INT(表格4_711[[#This Row],[DEC]]/(2^($A$1-COLUMN())))),1,0)</f>
        <v>1</v>
      </c>
      <c r="G16" s="123">
        <f>IF(ISODD( INT(表格4_711[[#This Row],[DEC]]/(2^($A$1-COLUMN())))),1,0)</f>
        <v>1</v>
      </c>
      <c r="H16" s="123">
        <f>IF(ISODD( INT(表格4_711[[#This Row],[DEC]]/(2^($A$1-COLUMN())))),1,0)</f>
        <v>0</v>
      </c>
      <c r="I16" s="212" t="str">
        <f xml:space="preserve"> IF(bitand(表格4_711[[#This Row],[DEC]],7)&lt;1,"//", VLOOKUP(INT(表格4_711[[#This Row],[DEC]]/8),表格4_7112[],5,FALSE))</f>
        <v>//ID1</v>
      </c>
      <c r="J16" s="147" t="str">
        <f xml:space="preserve"> VLOOKUP(bitand(表格4_711[[#This Row],[DEC]],8-1),表格2[],2,FALSE)</f>
        <v>_IntensityDown</v>
      </c>
      <c r="K16" s="169" t="str">
        <f>CONCATENATE(表格4_711[[#This Row],[反應]],表格4_711[[#This Row],[補正]]," = ",表格4_711[[#This Row],[DEC]],",")</f>
        <v>//ID1_IntensityDown = 14,</v>
      </c>
      <c r="L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應1_強度降低",</v>
      </c>
    </row>
    <row r="17" spans="2:12" x14ac:dyDescent="0.25">
      <c r="B17" s="57">
        <f t="shared" si="0"/>
        <v>15</v>
      </c>
      <c r="C17" s="122" t="str">
        <f>DEC2BIN(表格4_711[[#This Row],[DEC]]/2^($A$1-COLUMN()),3)</f>
        <v>000</v>
      </c>
      <c r="D17" s="123">
        <f>IF(ISODD( INT(表格4_711[[#This Row],[DEC]]/(2^($A$1-COLUMN())))),1,0)</f>
        <v>0</v>
      </c>
      <c r="E17" s="123">
        <f>IF(ISODD( INT(表格4_711[[#This Row],[DEC]]/(2^($A$1-COLUMN())))),1,0)</f>
        <v>1</v>
      </c>
      <c r="F17" s="124">
        <f>IF(ISODD( INT(表格4_711[[#This Row],[DEC]]/(2^($A$1-COLUMN())))),1,0)</f>
        <v>1</v>
      </c>
      <c r="G17" s="123">
        <f>IF(ISODD( INT(表格4_711[[#This Row],[DEC]]/(2^($A$1-COLUMN())))),1,0)</f>
        <v>1</v>
      </c>
      <c r="H17" s="123">
        <f>IF(ISODD( INT(表格4_711[[#This Row],[DEC]]/(2^($A$1-COLUMN())))),1,0)</f>
        <v>1</v>
      </c>
      <c r="I17" s="212" t="str">
        <f xml:space="preserve"> IF(bitand(表格4_711[[#This Row],[DEC]],7)&lt;1,"//", VLOOKUP(INT(表格4_711[[#This Row],[DEC]]/8),表格4_7112[],5,FALSE))</f>
        <v>//ID1</v>
      </c>
      <c r="J17" s="147" t="str">
        <f xml:space="preserve"> VLOOKUP(bitand(表格4_711[[#This Row],[DEC]],8-1),表格2[],2,FALSE)</f>
        <v>_IntensityUp</v>
      </c>
      <c r="K17" s="169" t="str">
        <f>CONCATENATE(表格4_711[[#This Row],[反應]],表格4_711[[#This Row],[補正]]," = ",表格4_711[[#This Row],[DEC]],",")</f>
        <v>//ID1_IntensityUp = 15,</v>
      </c>
      <c r="L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應1_強度提昇",</v>
      </c>
    </row>
    <row r="18" spans="2:12" x14ac:dyDescent="0.25">
      <c r="B18" s="57">
        <f t="shared" si="0"/>
        <v>16</v>
      </c>
      <c r="C18" s="122" t="str">
        <f>DEC2BIN(表格4_711[[#This Row],[DEC]]/2^($A$1-COLUMN()),3)</f>
        <v>000</v>
      </c>
      <c r="D18" s="123">
        <f>IF(ISODD( INT(表格4_711[[#This Row],[DEC]]/(2^($A$1-COLUMN())))),1,0)</f>
        <v>1</v>
      </c>
      <c r="E18" s="123">
        <f>IF(ISODD( INT(表格4_711[[#This Row],[DEC]]/(2^($A$1-COLUMN())))),1,0)</f>
        <v>0</v>
      </c>
      <c r="F18" s="124">
        <f>IF(ISODD( INT(表格4_711[[#This Row],[DEC]]/(2^($A$1-COLUMN())))),1,0)</f>
        <v>0</v>
      </c>
      <c r="G18" s="123">
        <f>IF(ISODD( INT(表格4_711[[#This Row],[DEC]]/(2^($A$1-COLUMN())))),1,0)</f>
        <v>0</v>
      </c>
      <c r="H18" s="123">
        <f>IF(ISODD( INT(表格4_711[[#This Row],[DEC]]/(2^($A$1-COLUMN())))),1,0)</f>
        <v>0</v>
      </c>
      <c r="I18" s="192" t="str">
        <f xml:space="preserve"> IF(bitand(表格4_711[[#This Row],[DEC]],7)&lt;1,"//", VLOOKUP(INT(表格4_711[[#This Row],[DEC]]/8),表格4_7112[],5,FALSE))</f>
        <v>//</v>
      </c>
      <c r="J18" s="145" t="str">
        <f xml:space="preserve"> VLOOKUP(bitand(表格4_711[[#This Row],[DEC]],8-1),表格2[],2,FALSE)</f>
        <v/>
      </c>
      <c r="K18" s="144" t="str">
        <f>CONCATENATE(表格4_711[[#This Row],[反應]],表格4_711[[#This Row],[補正]]," = ",表格4_711[[#This Row],[DEC]],",")</f>
        <v>// = 16,</v>
      </c>
      <c r="L1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9" spans="2:12" x14ac:dyDescent="0.25">
      <c r="B19" s="57">
        <f t="shared" si="0"/>
        <v>17</v>
      </c>
      <c r="C19" s="122" t="str">
        <f>DEC2BIN(表格4_711[[#This Row],[DEC]]/2^($A$1-COLUMN()),3)</f>
        <v>000</v>
      </c>
      <c r="D19" s="123">
        <f>IF(ISODD( INT(表格4_711[[#This Row],[DEC]]/(2^($A$1-COLUMN())))),1,0)</f>
        <v>1</v>
      </c>
      <c r="E19" s="123">
        <f>IF(ISODD( INT(表格4_711[[#This Row],[DEC]]/(2^($A$1-COLUMN())))),1,0)</f>
        <v>0</v>
      </c>
      <c r="F19" s="124">
        <f>IF(ISODD( INT(表格4_711[[#This Row],[DEC]]/(2^($A$1-COLUMN())))),1,0)</f>
        <v>0</v>
      </c>
      <c r="G19" s="123">
        <f>IF(ISODD( INT(表格4_711[[#This Row],[DEC]]/(2^($A$1-COLUMN())))),1,0)</f>
        <v>0</v>
      </c>
      <c r="H19" s="123">
        <f>IF(ISODD( INT(表格4_711[[#This Row],[DEC]]/(2^($A$1-COLUMN())))),1,0)</f>
        <v>1</v>
      </c>
      <c r="I19" s="178" t="str">
        <f xml:space="preserve"> IF(bitand(表格4_711[[#This Row],[DEC]],7)&lt;1,"//", VLOOKUP(INT(表格4_711[[#This Row],[DEC]]/8),表格4_7112[],5,FALSE))</f>
        <v>//ID2</v>
      </c>
      <c r="J19" s="132" t="str">
        <f xml:space="preserve"> VLOOKUP(bitand(表格4_711[[#This Row],[DEC]],8-1),表格2[],2,FALSE)</f>
        <v/>
      </c>
      <c r="K19" s="132" t="str">
        <f>CONCATENATE(表格4_711[[#This Row],[反應]],表格4_711[[#This Row],[補正]]," = ",表格4_711[[#This Row],[DEC]],",")</f>
        <v>//ID2 = 17,</v>
      </c>
      <c r="L19" s="13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應2",</v>
      </c>
    </row>
    <row r="20" spans="2:12" x14ac:dyDescent="0.25">
      <c r="B20" s="57">
        <f t="shared" si="0"/>
        <v>18</v>
      </c>
      <c r="C20" s="122" t="str">
        <f>DEC2BIN(表格4_711[[#This Row],[DEC]]/2^($A$1-COLUMN()),3)</f>
        <v>000</v>
      </c>
      <c r="D20" s="123">
        <f>IF(ISODD( INT(表格4_711[[#This Row],[DEC]]/(2^($A$1-COLUMN())))),1,0)</f>
        <v>1</v>
      </c>
      <c r="E20" s="123">
        <f>IF(ISODD( INT(表格4_711[[#This Row],[DEC]]/(2^($A$1-COLUMN())))),1,0)</f>
        <v>0</v>
      </c>
      <c r="F20" s="124">
        <f>IF(ISODD( INT(表格4_711[[#This Row],[DEC]]/(2^($A$1-COLUMN())))),1,0)</f>
        <v>0</v>
      </c>
      <c r="G20" s="123">
        <f>IF(ISODD( INT(表格4_711[[#This Row],[DEC]]/(2^($A$1-COLUMN())))),1,0)</f>
        <v>1</v>
      </c>
      <c r="H20" s="123">
        <f>IF(ISODD( INT(表格4_711[[#This Row],[DEC]]/(2^($A$1-COLUMN())))),1,0)</f>
        <v>0</v>
      </c>
      <c r="I20" s="210" t="str">
        <f xml:space="preserve"> IF(bitand(表格4_711[[#This Row],[DEC]],7)&lt;1,"//", VLOOKUP(INT(表格4_711[[#This Row],[DEC]]/8),表格4_7112[],5,FALSE))</f>
        <v>//ID2</v>
      </c>
      <c r="J20" s="207" t="str">
        <f xml:space="preserve"> VLOOKUP(bitand(表格4_711[[#This Row],[DEC]],8-1),表格2[],2,FALSE)</f>
        <v>_Clear</v>
      </c>
      <c r="K20" s="169" t="str">
        <f>CONCATENATE(表格4_711[[#This Row],[反應]],表格4_711[[#This Row],[補正]]," = ",表格4_711[[#This Row],[DEC]],",")</f>
        <v>//ID2_Clear = 18,</v>
      </c>
      <c r="L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應2_解除",</v>
      </c>
    </row>
    <row r="21" spans="2:12" x14ac:dyDescent="0.25">
      <c r="B21" s="57">
        <f t="shared" si="0"/>
        <v>19</v>
      </c>
      <c r="C21" s="122" t="str">
        <f>DEC2BIN(表格4_711[[#This Row],[DEC]]/2^($A$1-COLUMN()),3)</f>
        <v>000</v>
      </c>
      <c r="D21" s="123">
        <f>IF(ISODD( INT(表格4_711[[#This Row],[DEC]]/(2^($A$1-COLUMN())))),1,0)</f>
        <v>1</v>
      </c>
      <c r="E21" s="123">
        <f>IF(ISODD( INT(表格4_711[[#This Row],[DEC]]/(2^($A$1-COLUMN())))),1,0)</f>
        <v>0</v>
      </c>
      <c r="F21" s="124">
        <f>IF(ISODD( INT(表格4_711[[#This Row],[DEC]]/(2^($A$1-COLUMN())))),1,0)</f>
        <v>0</v>
      </c>
      <c r="G21" s="123">
        <f>IF(ISODD( INT(表格4_711[[#This Row],[DEC]]/(2^($A$1-COLUMN())))),1,0)</f>
        <v>1</v>
      </c>
      <c r="H21" s="123">
        <f>IF(ISODD( INT(表格4_711[[#This Row],[DEC]]/(2^($A$1-COLUMN())))),1,0)</f>
        <v>1</v>
      </c>
      <c r="I21" s="211" t="str">
        <f xml:space="preserve"> IF(bitand(表格4_711[[#This Row],[DEC]],7)&lt;1,"//", VLOOKUP(INT(表格4_711[[#This Row],[DEC]]/8),表格4_7112[],5,FALSE))</f>
        <v>//ID2</v>
      </c>
      <c r="J21" s="208" t="str">
        <f xml:space="preserve"> VLOOKUP(bitand(表格4_711[[#This Row],[DEC]],8-1),表格2[],2,FALSE)</f>
        <v>_Spread</v>
      </c>
      <c r="K21" s="169" t="str">
        <f>CONCATENATE(表格4_711[[#This Row],[反應]],表格4_711[[#This Row],[補正]]," = ",表格4_711[[#This Row],[DEC]],",")</f>
        <v>//ID2_Spread = 19,</v>
      </c>
      <c r="L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應2_散播",</v>
      </c>
    </row>
    <row r="22" spans="2:12" x14ac:dyDescent="0.25">
      <c r="B22" s="56">
        <f t="shared" si="0"/>
        <v>20</v>
      </c>
      <c r="C22" s="122" t="str">
        <f>DEC2BIN(表格4_711[[#This Row],[DEC]]/2^($A$1-COLUMN()),3)</f>
        <v>000</v>
      </c>
      <c r="D22" s="123">
        <f>IF(ISODD( INT(表格4_711[[#This Row],[DEC]]/(2^($A$1-COLUMN())))),1,0)</f>
        <v>1</v>
      </c>
      <c r="E22" s="123">
        <f>IF(ISODD( INT(表格4_711[[#This Row],[DEC]]/(2^($A$1-COLUMN())))),1,0)</f>
        <v>0</v>
      </c>
      <c r="F22" s="124">
        <f>IF(ISODD( INT(表格4_711[[#This Row],[DEC]]/(2^($A$1-COLUMN())))),1,0)</f>
        <v>1</v>
      </c>
      <c r="G22" s="123">
        <f>IF(ISODD( INT(表格4_711[[#This Row],[DEC]]/(2^($A$1-COLUMN())))),1,0)</f>
        <v>0</v>
      </c>
      <c r="H22" s="123">
        <f>IF(ISODD( INT(表格4_711[[#This Row],[DEC]]/(2^($A$1-COLUMN())))),1,0)</f>
        <v>0</v>
      </c>
      <c r="I22" s="212" t="str">
        <f xml:space="preserve"> IF(bitand(表格4_711[[#This Row],[DEC]],7)&lt;1,"//", VLOOKUP(INT(表格4_711[[#This Row],[DEC]]/8),表格4_7112[],5,FALSE))</f>
        <v>//ID2</v>
      </c>
      <c r="J22" s="147" t="str">
        <f xml:space="preserve"> VLOOKUP(bitand(表格4_711[[#This Row],[DEC]],8-1),表格2[],2,FALSE)</f>
        <v>_RangeDown</v>
      </c>
      <c r="K22" s="169" t="str">
        <f>CONCATENATE(表格4_711[[#This Row],[反應]],表格4_711[[#This Row],[補正]]," = ",表格4_711[[#This Row],[DEC]],",")</f>
        <v>//ID2_RangeDown = 20,</v>
      </c>
      <c r="L2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應2_範圍降低",</v>
      </c>
    </row>
    <row r="23" spans="2:12" x14ac:dyDescent="0.25">
      <c r="B23" s="57">
        <f t="shared" si="0"/>
        <v>21</v>
      </c>
      <c r="C23" s="122" t="str">
        <f>DEC2BIN(表格4_711[[#This Row],[DEC]]/2^($A$1-COLUMN()),3)</f>
        <v>000</v>
      </c>
      <c r="D23" s="123">
        <f>IF(ISODD( INT(表格4_711[[#This Row],[DEC]]/(2^($A$1-COLUMN())))),1,0)</f>
        <v>1</v>
      </c>
      <c r="E23" s="123">
        <f>IF(ISODD( INT(表格4_711[[#This Row],[DEC]]/(2^($A$1-COLUMN())))),1,0)</f>
        <v>0</v>
      </c>
      <c r="F23" s="124">
        <f>IF(ISODD( INT(表格4_711[[#This Row],[DEC]]/(2^($A$1-COLUMN())))),1,0)</f>
        <v>1</v>
      </c>
      <c r="G23" s="123">
        <f>IF(ISODD( INT(表格4_711[[#This Row],[DEC]]/(2^($A$1-COLUMN())))),1,0)</f>
        <v>0</v>
      </c>
      <c r="H23" s="123">
        <f>IF(ISODD( INT(表格4_711[[#This Row],[DEC]]/(2^($A$1-COLUMN())))),1,0)</f>
        <v>1</v>
      </c>
      <c r="I23" s="212" t="str">
        <f xml:space="preserve"> IF(bitand(表格4_711[[#This Row],[DEC]],7)&lt;1,"//", VLOOKUP(INT(表格4_711[[#This Row],[DEC]]/8),表格4_7112[],5,FALSE))</f>
        <v>//ID2</v>
      </c>
      <c r="J23" s="147" t="str">
        <f xml:space="preserve"> VLOOKUP(bitand(表格4_711[[#This Row],[DEC]],8-1),表格2[],2,FALSE)</f>
        <v>_RangeUP</v>
      </c>
      <c r="K23" s="169" t="str">
        <f>CONCATENATE(表格4_711[[#This Row],[反應]],表格4_711[[#This Row],[補正]]," = ",表格4_711[[#This Row],[DEC]],",")</f>
        <v>//ID2_RangeUP = 21,</v>
      </c>
      <c r="L2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應2_範圍提昇",</v>
      </c>
    </row>
    <row r="24" spans="2:12" x14ac:dyDescent="0.25">
      <c r="B24" s="57">
        <f t="shared" si="0"/>
        <v>22</v>
      </c>
      <c r="C24" s="122" t="str">
        <f>DEC2BIN(表格4_711[[#This Row],[DEC]]/2^($A$1-COLUMN()),3)</f>
        <v>000</v>
      </c>
      <c r="D24" s="123">
        <f>IF(ISODD( INT(表格4_711[[#This Row],[DEC]]/(2^($A$1-COLUMN())))),1,0)</f>
        <v>1</v>
      </c>
      <c r="E24" s="123">
        <f>IF(ISODD( INT(表格4_711[[#This Row],[DEC]]/(2^($A$1-COLUMN())))),1,0)</f>
        <v>0</v>
      </c>
      <c r="F24" s="124">
        <f>IF(ISODD( INT(表格4_711[[#This Row],[DEC]]/(2^($A$1-COLUMN())))),1,0)</f>
        <v>1</v>
      </c>
      <c r="G24" s="123">
        <f>IF(ISODD( INT(表格4_711[[#This Row],[DEC]]/(2^($A$1-COLUMN())))),1,0)</f>
        <v>1</v>
      </c>
      <c r="H24" s="123">
        <f>IF(ISODD( INT(表格4_711[[#This Row],[DEC]]/(2^($A$1-COLUMN())))),1,0)</f>
        <v>0</v>
      </c>
      <c r="I24" s="212" t="str">
        <f xml:space="preserve"> IF(bitand(表格4_711[[#This Row],[DEC]],7)&lt;1,"//", VLOOKUP(INT(表格4_711[[#This Row],[DEC]]/8),表格4_7112[],5,FALSE))</f>
        <v>//ID2</v>
      </c>
      <c r="J24" s="147" t="str">
        <f xml:space="preserve"> VLOOKUP(bitand(表格4_711[[#This Row],[DEC]],8-1),表格2[],2,FALSE)</f>
        <v>_IntensityDown</v>
      </c>
      <c r="K24" s="169" t="str">
        <f>CONCATENATE(表格4_711[[#This Row],[反應]],表格4_711[[#This Row],[補正]]," = ",表格4_711[[#This Row],[DEC]],",")</f>
        <v>//ID2_IntensityDown = 22,</v>
      </c>
      <c r="L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應2_強度降低",</v>
      </c>
    </row>
    <row r="25" spans="2:12" x14ac:dyDescent="0.25">
      <c r="B25" s="57">
        <f t="shared" si="0"/>
        <v>23</v>
      </c>
      <c r="C25" s="122" t="str">
        <f>DEC2BIN(表格4_711[[#This Row],[DEC]]/2^($A$1-COLUMN()),3)</f>
        <v>000</v>
      </c>
      <c r="D25" s="123">
        <f>IF(ISODD( INT(表格4_711[[#This Row],[DEC]]/(2^($A$1-COLUMN())))),1,0)</f>
        <v>1</v>
      </c>
      <c r="E25" s="123">
        <f>IF(ISODD( INT(表格4_711[[#This Row],[DEC]]/(2^($A$1-COLUMN())))),1,0)</f>
        <v>0</v>
      </c>
      <c r="F25" s="124">
        <f>IF(ISODD( INT(表格4_711[[#This Row],[DEC]]/(2^($A$1-COLUMN())))),1,0)</f>
        <v>1</v>
      </c>
      <c r="G25" s="123">
        <f>IF(ISODD( INT(表格4_711[[#This Row],[DEC]]/(2^($A$1-COLUMN())))),1,0)</f>
        <v>1</v>
      </c>
      <c r="H25" s="123">
        <f>IF(ISODD( INT(表格4_711[[#This Row],[DEC]]/(2^($A$1-COLUMN())))),1,0)</f>
        <v>1</v>
      </c>
      <c r="I25" s="212" t="str">
        <f xml:space="preserve"> IF(bitand(表格4_711[[#This Row],[DEC]],7)&lt;1,"//", VLOOKUP(INT(表格4_711[[#This Row],[DEC]]/8),表格4_7112[],5,FALSE))</f>
        <v>//ID2</v>
      </c>
      <c r="J25" s="147" t="str">
        <f xml:space="preserve"> VLOOKUP(bitand(表格4_711[[#This Row],[DEC]],8-1),表格2[],2,FALSE)</f>
        <v>_IntensityUp</v>
      </c>
      <c r="K25" s="169" t="str">
        <f>CONCATENATE(表格4_711[[#This Row],[反應]],表格4_711[[#This Row],[補正]]," = ",表格4_711[[#This Row],[DEC]],",")</f>
        <v>//ID2_IntensityUp = 23,</v>
      </c>
      <c r="L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應2_強度提昇",</v>
      </c>
    </row>
    <row r="26" spans="2:12" x14ac:dyDescent="0.25">
      <c r="B26" s="57">
        <f t="shared" si="0"/>
        <v>24</v>
      </c>
      <c r="C26" s="122" t="str">
        <f>DEC2BIN(表格4_711[[#This Row],[DEC]]/2^($A$1-COLUMN()),3)</f>
        <v>000</v>
      </c>
      <c r="D26" s="123">
        <f>IF(ISODD( INT(表格4_711[[#This Row],[DEC]]/(2^($A$1-COLUMN())))),1,0)</f>
        <v>1</v>
      </c>
      <c r="E26" s="123">
        <f>IF(ISODD( INT(表格4_711[[#This Row],[DEC]]/(2^($A$1-COLUMN())))),1,0)</f>
        <v>1</v>
      </c>
      <c r="F26" s="124">
        <f>IF(ISODD( INT(表格4_711[[#This Row],[DEC]]/(2^($A$1-COLUMN())))),1,0)</f>
        <v>0</v>
      </c>
      <c r="G26" s="123">
        <f>IF(ISODD( INT(表格4_711[[#This Row],[DEC]]/(2^($A$1-COLUMN())))),1,0)</f>
        <v>0</v>
      </c>
      <c r="H26" s="123">
        <f>IF(ISODD( INT(表格4_711[[#This Row],[DEC]]/(2^($A$1-COLUMN())))),1,0)</f>
        <v>0</v>
      </c>
      <c r="I26" s="192" t="str">
        <f xml:space="preserve"> IF(bitand(表格4_711[[#This Row],[DEC]],7)&lt;1,"//", VLOOKUP(INT(表格4_711[[#This Row],[DEC]]/8),表格4_7112[],5,FALSE))</f>
        <v>//</v>
      </c>
      <c r="J26" s="145" t="str">
        <f xml:space="preserve"> VLOOKUP(bitand(表格4_711[[#This Row],[DEC]],8-1),表格2[],2,FALSE)</f>
        <v/>
      </c>
      <c r="K26" s="144" t="str">
        <f>CONCATENATE(表格4_711[[#This Row],[反應]],表格4_711[[#This Row],[補正]]," = ",表格4_711[[#This Row],[DEC]],",")</f>
        <v>// = 24,</v>
      </c>
      <c r="L2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7" spans="2:12" x14ac:dyDescent="0.25">
      <c r="B27" s="56">
        <f t="shared" si="0"/>
        <v>25</v>
      </c>
      <c r="C27" s="122" t="str">
        <f>DEC2BIN(表格4_711[[#This Row],[DEC]]/2^($A$1-COLUMN()),3)</f>
        <v>000</v>
      </c>
      <c r="D27" s="123">
        <f>IF(ISODD( INT(表格4_711[[#This Row],[DEC]]/(2^($A$1-COLUMN())))),1,0)</f>
        <v>1</v>
      </c>
      <c r="E27" s="123">
        <f>IF(ISODD( INT(表格4_711[[#This Row],[DEC]]/(2^($A$1-COLUMN())))),1,0)</f>
        <v>1</v>
      </c>
      <c r="F27" s="124">
        <f>IF(ISODD( INT(表格4_711[[#This Row],[DEC]]/(2^($A$1-COLUMN())))),1,0)</f>
        <v>0</v>
      </c>
      <c r="G27" s="123">
        <f>IF(ISODD( INT(表格4_711[[#This Row],[DEC]]/(2^($A$1-COLUMN())))),1,0)</f>
        <v>0</v>
      </c>
      <c r="H27" s="123">
        <f>IF(ISODD( INT(表格4_711[[#This Row],[DEC]]/(2^($A$1-COLUMN())))),1,0)</f>
        <v>1</v>
      </c>
      <c r="I27" s="179" t="str">
        <f xml:space="preserve"> IF(bitand(表格4_711[[#This Row],[DEC]],7)&lt;1,"//", VLOOKUP(INT(表格4_711[[#This Row],[DEC]]/8),表格4_7112[],5,FALSE))</f>
        <v>//ID3</v>
      </c>
      <c r="J27" s="133" t="str">
        <f xml:space="preserve"> VLOOKUP(bitand(表格4_711[[#This Row],[DEC]],8-1),表格2[],2,FALSE)</f>
        <v/>
      </c>
      <c r="K27" s="133" t="str">
        <f>CONCATENATE(表格4_711[[#This Row],[反應]],表格4_711[[#This Row],[補正]]," = ",表格4_711[[#This Row],[DEC]],",")</f>
        <v>//ID3 = 25,</v>
      </c>
      <c r="L27" s="13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應3",</v>
      </c>
    </row>
    <row r="28" spans="2:12" x14ac:dyDescent="0.25">
      <c r="B28" s="57">
        <f t="shared" si="0"/>
        <v>26</v>
      </c>
      <c r="C28" s="122" t="str">
        <f>DEC2BIN(表格4_711[[#This Row],[DEC]]/2^($A$1-COLUMN()),3)</f>
        <v>000</v>
      </c>
      <c r="D28" s="123">
        <f>IF(ISODD( INT(表格4_711[[#This Row],[DEC]]/(2^($A$1-COLUMN())))),1,0)</f>
        <v>1</v>
      </c>
      <c r="E28" s="123">
        <f>IF(ISODD( INT(表格4_711[[#This Row],[DEC]]/(2^($A$1-COLUMN())))),1,0)</f>
        <v>1</v>
      </c>
      <c r="F28" s="124">
        <f>IF(ISODD( INT(表格4_711[[#This Row],[DEC]]/(2^($A$1-COLUMN())))),1,0)</f>
        <v>0</v>
      </c>
      <c r="G28" s="123">
        <f>IF(ISODD( INT(表格4_711[[#This Row],[DEC]]/(2^($A$1-COLUMN())))),1,0)</f>
        <v>1</v>
      </c>
      <c r="H28" s="123">
        <f>IF(ISODD( INT(表格4_711[[#This Row],[DEC]]/(2^($A$1-COLUMN())))),1,0)</f>
        <v>0</v>
      </c>
      <c r="I28" s="210" t="str">
        <f xml:space="preserve"> IF(bitand(表格4_711[[#This Row],[DEC]],7)&lt;1,"//", VLOOKUP(INT(表格4_711[[#This Row],[DEC]]/8),表格4_7112[],5,FALSE))</f>
        <v>//ID3</v>
      </c>
      <c r="J28" s="207" t="str">
        <f xml:space="preserve"> VLOOKUP(bitand(表格4_711[[#This Row],[DEC]],8-1),表格2[],2,FALSE)</f>
        <v>_Clear</v>
      </c>
      <c r="K28" s="169" t="str">
        <f>CONCATENATE(表格4_711[[#This Row],[反應]],表格4_711[[#This Row],[補正]]," = ",表格4_711[[#This Row],[DEC]],",")</f>
        <v>//ID3_Clear = 26,</v>
      </c>
      <c r="L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應3_解除",</v>
      </c>
    </row>
    <row r="29" spans="2:12" x14ac:dyDescent="0.25">
      <c r="B29" s="57">
        <f t="shared" si="0"/>
        <v>27</v>
      </c>
      <c r="C29" s="122" t="str">
        <f>DEC2BIN(表格4_711[[#This Row],[DEC]]/2^($A$1-COLUMN()),3)</f>
        <v>000</v>
      </c>
      <c r="D29" s="123">
        <f>IF(ISODD( INT(表格4_711[[#This Row],[DEC]]/(2^($A$1-COLUMN())))),1,0)</f>
        <v>1</v>
      </c>
      <c r="E29" s="123">
        <f>IF(ISODD( INT(表格4_711[[#This Row],[DEC]]/(2^($A$1-COLUMN())))),1,0)</f>
        <v>1</v>
      </c>
      <c r="F29" s="124">
        <f>IF(ISODD( INT(表格4_711[[#This Row],[DEC]]/(2^($A$1-COLUMN())))),1,0)</f>
        <v>0</v>
      </c>
      <c r="G29" s="123">
        <f>IF(ISODD( INT(表格4_711[[#This Row],[DEC]]/(2^($A$1-COLUMN())))),1,0)</f>
        <v>1</v>
      </c>
      <c r="H29" s="123">
        <f>IF(ISODD( INT(表格4_711[[#This Row],[DEC]]/(2^($A$1-COLUMN())))),1,0)</f>
        <v>1</v>
      </c>
      <c r="I29" s="211" t="str">
        <f xml:space="preserve"> IF(bitand(表格4_711[[#This Row],[DEC]],7)&lt;1,"//", VLOOKUP(INT(表格4_711[[#This Row],[DEC]]/8),表格4_7112[],5,FALSE))</f>
        <v>//ID3</v>
      </c>
      <c r="J29" s="208" t="str">
        <f xml:space="preserve"> VLOOKUP(bitand(表格4_711[[#This Row],[DEC]],8-1),表格2[],2,FALSE)</f>
        <v>_Spread</v>
      </c>
      <c r="K29" s="169" t="str">
        <f>CONCATENATE(表格4_711[[#This Row],[反應]],表格4_711[[#This Row],[補正]]," = ",表格4_711[[#This Row],[DEC]],",")</f>
        <v>//ID3_Spread = 27,</v>
      </c>
      <c r="L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應3_散播",</v>
      </c>
    </row>
    <row r="30" spans="2:12" x14ac:dyDescent="0.25">
      <c r="B30" s="56">
        <f t="shared" si="0"/>
        <v>28</v>
      </c>
      <c r="C30" s="122" t="str">
        <f>DEC2BIN(表格4_711[[#This Row],[DEC]]/2^($A$1-COLUMN()),3)</f>
        <v>000</v>
      </c>
      <c r="D30" s="123">
        <f>IF(ISODD( INT(表格4_711[[#This Row],[DEC]]/(2^($A$1-COLUMN())))),1,0)</f>
        <v>1</v>
      </c>
      <c r="E30" s="123">
        <f>IF(ISODD( INT(表格4_711[[#This Row],[DEC]]/(2^($A$1-COLUMN())))),1,0)</f>
        <v>1</v>
      </c>
      <c r="F30" s="124">
        <f>IF(ISODD( INT(表格4_711[[#This Row],[DEC]]/(2^($A$1-COLUMN())))),1,0)</f>
        <v>1</v>
      </c>
      <c r="G30" s="123">
        <f>IF(ISODD( INT(表格4_711[[#This Row],[DEC]]/(2^($A$1-COLUMN())))),1,0)</f>
        <v>0</v>
      </c>
      <c r="H30" s="123">
        <f>IF(ISODD( INT(表格4_711[[#This Row],[DEC]]/(2^($A$1-COLUMN())))),1,0)</f>
        <v>0</v>
      </c>
      <c r="I30" s="212" t="str">
        <f xml:space="preserve"> IF(bitand(表格4_711[[#This Row],[DEC]],7)&lt;1,"//", VLOOKUP(INT(表格4_711[[#This Row],[DEC]]/8),表格4_7112[],5,FALSE))</f>
        <v>//ID3</v>
      </c>
      <c r="J30" s="147" t="str">
        <f xml:space="preserve"> VLOOKUP(bitand(表格4_711[[#This Row],[DEC]],8-1),表格2[],2,FALSE)</f>
        <v>_RangeDown</v>
      </c>
      <c r="K30" s="169" t="str">
        <f>CONCATENATE(表格4_711[[#This Row],[反應]],表格4_711[[#This Row],[補正]]," = ",表格4_711[[#This Row],[DEC]],",")</f>
        <v>//ID3_RangeDown = 28,</v>
      </c>
      <c r="L3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應3_範圍降低",</v>
      </c>
    </row>
    <row r="31" spans="2:12" x14ac:dyDescent="0.25">
      <c r="B31" s="57">
        <f t="shared" si="0"/>
        <v>29</v>
      </c>
      <c r="C31" s="122" t="str">
        <f>DEC2BIN(表格4_711[[#This Row],[DEC]]/2^($A$1-COLUMN()),3)</f>
        <v>000</v>
      </c>
      <c r="D31" s="123">
        <f>IF(ISODD( INT(表格4_711[[#This Row],[DEC]]/(2^($A$1-COLUMN())))),1,0)</f>
        <v>1</v>
      </c>
      <c r="E31" s="123">
        <f>IF(ISODD( INT(表格4_711[[#This Row],[DEC]]/(2^($A$1-COLUMN())))),1,0)</f>
        <v>1</v>
      </c>
      <c r="F31" s="124">
        <f>IF(ISODD( INT(表格4_711[[#This Row],[DEC]]/(2^($A$1-COLUMN())))),1,0)</f>
        <v>1</v>
      </c>
      <c r="G31" s="123">
        <f>IF(ISODD( INT(表格4_711[[#This Row],[DEC]]/(2^($A$1-COLUMN())))),1,0)</f>
        <v>0</v>
      </c>
      <c r="H31" s="123">
        <f>IF(ISODD( INT(表格4_711[[#This Row],[DEC]]/(2^($A$1-COLUMN())))),1,0)</f>
        <v>1</v>
      </c>
      <c r="I31" s="212" t="str">
        <f xml:space="preserve"> IF(bitand(表格4_711[[#This Row],[DEC]],7)&lt;1,"//", VLOOKUP(INT(表格4_711[[#This Row],[DEC]]/8),表格4_7112[],5,FALSE))</f>
        <v>//ID3</v>
      </c>
      <c r="J31" s="147" t="str">
        <f xml:space="preserve"> VLOOKUP(bitand(表格4_711[[#This Row],[DEC]],8-1),表格2[],2,FALSE)</f>
        <v>_RangeUP</v>
      </c>
      <c r="K31" s="169" t="str">
        <f>CONCATENATE(表格4_711[[#This Row],[反應]],表格4_711[[#This Row],[補正]]," = ",表格4_711[[#This Row],[DEC]],",")</f>
        <v>//ID3_RangeUP = 29,</v>
      </c>
      <c r="L3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應3_範圍提昇",</v>
      </c>
    </row>
    <row r="32" spans="2:12" x14ac:dyDescent="0.25">
      <c r="B32" s="57">
        <f t="shared" si="0"/>
        <v>30</v>
      </c>
      <c r="C32" s="122" t="str">
        <f>DEC2BIN(表格4_711[[#This Row],[DEC]]/2^($A$1-COLUMN()),3)</f>
        <v>000</v>
      </c>
      <c r="D32" s="123">
        <f>IF(ISODD( INT(表格4_711[[#This Row],[DEC]]/(2^($A$1-COLUMN())))),1,0)</f>
        <v>1</v>
      </c>
      <c r="E32" s="123">
        <f>IF(ISODD( INT(表格4_711[[#This Row],[DEC]]/(2^($A$1-COLUMN())))),1,0)</f>
        <v>1</v>
      </c>
      <c r="F32" s="124">
        <f>IF(ISODD( INT(表格4_711[[#This Row],[DEC]]/(2^($A$1-COLUMN())))),1,0)</f>
        <v>1</v>
      </c>
      <c r="G32" s="123">
        <f>IF(ISODD( INT(表格4_711[[#This Row],[DEC]]/(2^($A$1-COLUMN())))),1,0)</f>
        <v>1</v>
      </c>
      <c r="H32" s="123">
        <f>IF(ISODD( INT(表格4_711[[#This Row],[DEC]]/(2^($A$1-COLUMN())))),1,0)</f>
        <v>0</v>
      </c>
      <c r="I32" s="212" t="str">
        <f xml:space="preserve"> IF(bitand(表格4_711[[#This Row],[DEC]],7)&lt;1,"//", VLOOKUP(INT(表格4_711[[#This Row],[DEC]]/8),表格4_7112[],5,FALSE))</f>
        <v>//ID3</v>
      </c>
      <c r="J32" s="147" t="str">
        <f xml:space="preserve"> VLOOKUP(bitand(表格4_711[[#This Row],[DEC]],8-1),表格2[],2,FALSE)</f>
        <v>_IntensityDown</v>
      </c>
      <c r="K32" s="169" t="str">
        <f>CONCATENATE(表格4_711[[#This Row],[反應]],表格4_711[[#This Row],[補正]]," = ",表格4_711[[#This Row],[DEC]],",")</f>
        <v>//ID3_IntensityDown = 30,</v>
      </c>
      <c r="L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應3_強度降低",</v>
      </c>
    </row>
    <row r="33" spans="2:12" x14ac:dyDescent="0.25">
      <c r="B33" s="57">
        <f t="shared" si="0"/>
        <v>31</v>
      </c>
      <c r="C33" s="122" t="str">
        <f>DEC2BIN(表格4_711[[#This Row],[DEC]]/2^($A$1-COLUMN()),3)</f>
        <v>000</v>
      </c>
      <c r="D33" s="123">
        <f>IF(ISODD( INT(表格4_711[[#This Row],[DEC]]/(2^($A$1-COLUMN())))),1,0)</f>
        <v>1</v>
      </c>
      <c r="E33" s="123">
        <f>IF(ISODD( INT(表格4_711[[#This Row],[DEC]]/(2^($A$1-COLUMN())))),1,0)</f>
        <v>1</v>
      </c>
      <c r="F33" s="124">
        <f>IF(ISODD( INT(表格4_711[[#This Row],[DEC]]/(2^($A$1-COLUMN())))),1,0)</f>
        <v>1</v>
      </c>
      <c r="G33" s="123">
        <f>IF(ISODD( INT(表格4_711[[#This Row],[DEC]]/(2^($A$1-COLUMN())))),1,0)</f>
        <v>1</v>
      </c>
      <c r="H33" s="123">
        <f>IF(ISODD( INT(表格4_711[[#This Row],[DEC]]/(2^($A$1-COLUMN())))),1,0)</f>
        <v>1</v>
      </c>
      <c r="I33" s="212" t="str">
        <f xml:space="preserve"> IF(bitand(表格4_711[[#This Row],[DEC]],7)&lt;1,"//", VLOOKUP(INT(表格4_711[[#This Row],[DEC]]/8),表格4_7112[],5,FALSE))</f>
        <v>//ID3</v>
      </c>
      <c r="J33" s="147" t="str">
        <f xml:space="preserve"> VLOOKUP(bitand(表格4_711[[#This Row],[DEC]],8-1),表格2[],2,FALSE)</f>
        <v>_IntensityUp</v>
      </c>
      <c r="K33" s="169" t="str">
        <f>CONCATENATE(表格4_711[[#This Row],[反應]],表格4_711[[#This Row],[補正]]," = ",表格4_711[[#This Row],[DEC]],",")</f>
        <v>//ID3_IntensityUp = 31,</v>
      </c>
      <c r="L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應3_強度提昇",</v>
      </c>
    </row>
    <row r="34" spans="2:12" x14ac:dyDescent="0.25">
      <c r="B34" s="57">
        <f t="shared" si="0"/>
        <v>32</v>
      </c>
      <c r="C34" s="122" t="str">
        <f>DEC2BIN(表格4_711[[#This Row],[DEC]]/2^($A$1-COLUMN()),3)</f>
        <v>001</v>
      </c>
      <c r="D34" s="123">
        <f>IF(ISODD( INT(表格4_711[[#This Row],[DEC]]/(2^($A$1-COLUMN())))),1,0)</f>
        <v>0</v>
      </c>
      <c r="E34" s="123">
        <f>IF(ISODD( INT(表格4_711[[#This Row],[DEC]]/(2^($A$1-COLUMN())))),1,0)</f>
        <v>0</v>
      </c>
      <c r="F34" s="124">
        <f>IF(ISODD( INT(表格4_711[[#This Row],[DEC]]/(2^($A$1-COLUMN())))),1,0)</f>
        <v>0</v>
      </c>
      <c r="G34" s="123">
        <f>IF(ISODD( INT(表格4_711[[#This Row],[DEC]]/(2^($A$1-COLUMN())))),1,0)</f>
        <v>0</v>
      </c>
      <c r="H34" s="123">
        <f>IF(ISODD( INT(表格4_711[[#This Row],[DEC]]/(2^($A$1-COLUMN())))),1,0)</f>
        <v>0</v>
      </c>
      <c r="I34" s="192" t="str">
        <f xml:space="preserve"> IF(bitand(表格4_711[[#This Row],[DEC]],7)&lt;1,"//", VLOOKUP(INT(表格4_711[[#This Row],[DEC]]/8),表格4_7112[],5,FALSE))</f>
        <v>//</v>
      </c>
      <c r="J34" s="145" t="str">
        <f xml:space="preserve"> VLOOKUP(bitand(表格4_711[[#This Row],[DEC]],8-1),表格2[],2,FALSE)</f>
        <v/>
      </c>
      <c r="K34" s="144" t="str">
        <f>CONCATENATE(表格4_711[[#This Row],[反應]],表格4_711[[#This Row],[補正]]," = ",表格4_711[[#This Row],[DEC]],",")</f>
        <v>// = 32,</v>
      </c>
      <c r="L3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35" spans="2:12" x14ac:dyDescent="0.25">
      <c r="B35" s="57">
        <f t="shared" si="0"/>
        <v>33</v>
      </c>
      <c r="C35" s="122" t="str">
        <f>DEC2BIN(表格4_711[[#This Row],[DEC]]/2^($A$1-COLUMN()),3)</f>
        <v>001</v>
      </c>
      <c r="D35" s="123">
        <f>IF(ISODD( INT(表格4_711[[#This Row],[DEC]]/(2^($A$1-COLUMN())))),1,0)</f>
        <v>0</v>
      </c>
      <c r="E35" s="123">
        <f>IF(ISODD( INT(表格4_711[[#This Row],[DEC]]/(2^($A$1-COLUMN())))),1,0)</f>
        <v>0</v>
      </c>
      <c r="F35" s="124">
        <f>IF(ISODD( INT(表格4_711[[#This Row],[DEC]]/(2^($A$1-COLUMN())))),1,0)</f>
        <v>0</v>
      </c>
      <c r="G35" s="123">
        <f>IF(ISODD( INT(表格4_711[[#This Row],[DEC]]/(2^($A$1-COLUMN())))),1,0)</f>
        <v>0</v>
      </c>
      <c r="H35" s="123">
        <f>IF(ISODD( INT(表格4_711[[#This Row],[DEC]]/(2^($A$1-COLUMN())))),1,0)</f>
        <v>1</v>
      </c>
      <c r="I35" s="180" t="str">
        <f xml:space="preserve"> IF(bitand(表格4_711[[#This Row],[DEC]],7)&lt;1,"//", VLOOKUP(INT(表格4_711[[#This Row],[DEC]]/8),表格4_7112[],5,FALSE))</f>
        <v>Paralysis</v>
      </c>
      <c r="J35" s="134" t="str">
        <f xml:space="preserve"> VLOOKUP(bitand(表格4_711[[#This Row],[DEC]],8-1),表格2[],2,FALSE)</f>
        <v/>
      </c>
      <c r="K35" s="134" t="str">
        <f>CONCATENATE(表格4_711[[#This Row],[反應]],表格4_711[[#This Row],[補正]]," = ",表格4_711[[#This Row],[DEC]],",")</f>
        <v>Paralysis = 33,</v>
      </c>
      <c r="L35" s="13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痺",</v>
      </c>
    </row>
    <row r="36" spans="2:12" x14ac:dyDescent="0.25">
      <c r="B36" s="57">
        <f t="shared" si="0"/>
        <v>34</v>
      </c>
      <c r="C36" s="122" t="str">
        <f>DEC2BIN(表格4_711[[#This Row],[DEC]]/2^($A$1-COLUMN()),3)</f>
        <v>001</v>
      </c>
      <c r="D36" s="123">
        <f>IF(ISODD( INT(表格4_711[[#This Row],[DEC]]/(2^($A$1-COLUMN())))),1,0)</f>
        <v>0</v>
      </c>
      <c r="E36" s="123">
        <f>IF(ISODD( INT(表格4_711[[#This Row],[DEC]]/(2^($A$1-COLUMN())))),1,0)</f>
        <v>0</v>
      </c>
      <c r="F36" s="124">
        <f>IF(ISODD( INT(表格4_711[[#This Row],[DEC]]/(2^($A$1-COLUMN())))),1,0)</f>
        <v>0</v>
      </c>
      <c r="G36" s="123">
        <f>IF(ISODD( INT(表格4_711[[#This Row],[DEC]]/(2^($A$1-COLUMN())))),1,0)</f>
        <v>1</v>
      </c>
      <c r="H36" s="123">
        <f>IF(ISODD( INT(表格4_711[[#This Row],[DEC]]/(2^($A$1-COLUMN())))),1,0)</f>
        <v>0</v>
      </c>
      <c r="I36" s="210" t="str">
        <f xml:space="preserve"> IF(bitand(表格4_711[[#This Row],[DEC]],7)&lt;1,"//", VLOOKUP(INT(表格4_711[[#This Row],[DEC]]/8),表格4_7112[],5,FALSE))</f>
        <v>Paralysis</v>
      </c>
      <c r="J36" s="207" t="str">
        <f xml:space="preserve"> VLOOKUP(bitand(表格4_711[[#This Row],[DEC]],8-1),表格2[],2,FALSE)</f>
        <v>_Clear</v>
      </c>
      <c r="K36" s="169" t="str">
        <f>CONCATENATE(表格4_711[[#This Row],[反應]],表格4_711[[#This Row],[補正]]," = ",表格4_711[[#This Row],[DEC]],",")</f>
        <v>Paralysis_Clear = 34,</v>
      </c>
      <c r="L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痺_解除",</v>
      </c>
    </row>
    <row r="37" spans="2:12" x14ac:dyDescent="0.25">
      <c r="B37" s="57">
        <f t="shared" si="0"/>
        <v>35</v>
      </c>
      <c r="C37" s="122" t="str">
        <f>DEC2BIN(表格4_711[[#This Row],[DEC]]/2^($A$1-COLUMN()),3)</f>
        <v>001</v>
      </c>
      <c r="D37" s="123">
        <f>IF(ISODD( INT(表格4_711[[#This Row],[DEC]]/(2^($A$1-COLUMN())))),1,0)</f>
        <v>0</v>
      </c>
      <c r="E37" s="123">
        <f>IF(ISODD( INT(表格4_711[[#This Row],[DEC]]/(2^($A$1-COLUMN())))),1,0)</f>
        <v>0</v>
      </c>
      <c r="F37" s="124">
        <f>IF(ISODD( INT(表格4_711[[#This Row],[DEC]]/(2^($A$1-COLUMN())))),1,0)</f>
        <v>0</v>
      </c>
      <c r="G37" s="123">
        <f>IF(ISODD( INT(表格4_711[[#This Row],[DEC]]/(2^($A$1-COLUMN())))),1,0)</f>
        <v>1</v>
      </c>
      <c r="H37" s="123">
        <f>IF(ISODD( INT(表格4_711[[#This Row],[DEC]]/(2^($A$1-COLUMN())))),1,0)</f>
        <v>1</v>
      </c>
      <c r="I37" s="213" t="str">
        <f xml:space="preserve"> IF(bitand(表格4_711[[#This Row],[DEC]],7)&lt;1,"//", VLOOKUP(INT(表格4_711[[#This Row],[DEC]]/8),表格4_7112[],5,FALSE))</f>
        <v>Paralysis</v>
      </c>
      <c r="J37" s="208" t="str">
        <f xml:space="preserve"> VLOOKUP(bitand(表格4_711[[#This Row],[DEC]],8-1),表格2[],2,FALSE)</f>
        <v>_Spread</v>
      </c>
      <c r="K37" s="169" t="str">
        <f>CONCATENATE(表格4_711[[#This Row],[反應]],表格4_711[[#This Row],[補正]]," = ",表格4_711[[#This Row],[DEC]],",")</f>
        <v>Paralysis_Spread = 35,</v>
      </c>
      <c r="L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痺_散播",</v>
      </c>
    </row>
    <row r="38" spans="2:12" x14ac:dyDescent="0.25">
      <c r="B38" s="57">
        <f t="shared" si="0"/>
        <v>36</v>
      </c>
      <c r="C38" s="122" t="str">
        <f>DEC2BIN(表格4_711[[#This Row],[DEC]]/2^($A$1-COLUMN()),3)</f>
        <v>001</v>
      </c>
      <c r="D38" s="123">
        <f>IF(ISODD( INT(表格4_711[[#This Row],[DEC]]/(2^($A$1-COLUMN())))),1,0)</f>
        <v>0</v>
      </c>
      <c r="E38" s="123">
        <f>IF(ISODD( INT(表格4_711[[#This Row],[DEC]]/(2^($A$1-COLUMN())))),1,0)</f>
        <v>0</v>
      </c>
      <c r="F38" s="124">
        <f>IF(ISODD( INT(表格4_711[[#This Row],[DEC]]/(2^($A$1-COLUMN())))),1,0)</f>
        <v>1</v>
      </c>
      <c r="G38" s="123">
        <f>IF(ISODD( INT(表格4_711[[#This Row],[DEC]]/(2^($A$1-COLUMN())))),1,0)</f>
        <v>0</v>
      </c>
      <c r="H38" s="123">
        <f>IF(ISODD( INT(表格4_711[[#This Row],[DEC]]/(2^($A$1-COLUMN())))),1,0)</f>
        <v>0</v>
      </c>
      <c r="I38" s="212" t="str">
        <f xml:space="preserve"> IF(bitand(表格4_711[[#This Row],[DEC]],7)&lt;1,"//", VLOOKUP(INT(表格4_711[[#This Row],[DEC]]/8),表格4_7112[],5,FALSE))</f>
        <v>Paralysis</v>
      </c>
      <c r="J38" s="147" t="str">
        <f xml:space="preserve"> VLOOKUP(bitand(表格4_711[[#This Row],[DEC]],8-1),表格2[],2,FALSE)</f>
        <v>_RangeDown</v>
      </c>
      <c r="K38" s="169" t="str">
        <f>CONCATENATE(表格4_711[[#This Row],[反應]],表格4_711[[#This Row],[補正]]," = ",表格4_711[[#This Row],[DEC]],",")</f>
        <v>Paralysis_RangeDown = 36,</v>
      </c>
      <c r="L3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痺_範圍降低",</v>
      </c>
    </row>
    <row r="39" spans="2:12" x14ac:dyDescent="0.25">
      <c r="B39" s="57">
        <f t="shared" si="0"/>
        <v>37</v>
      </c>
      <c r="C39" s="122" t="str">
        <f>DEC2BIN(表格4_711[[#This Row],[DEC]]/2^($A$1-COLUMN()),3)</f>
        <v>001</v>
      </c>
      <c r="D39" s="123">
        <f>IF(ISODD( INT(表格4_711[[#This Row],[DEC]]/(2^($A$1-COLUMN())))),1,0)</f>
        <v>0</v>
      </c>
      <c r="E39" s="123">
        <f>IF(ISODD( INT(表格4_711[[#This Row],[DEC]]/(2^($A$1-COLUMN())))),1,0)</f>
        <v>0</v>
      </c>
      <c r="F39" s="124">
        <f>IF(ISODD( INT(表格4_711[[#This Row],[DEC]]/(2^($A$1-COLUMN())))),1,0)</f>
        <v>1</v>
      </c>
      <c r="G39" s="123">
        <f>IF(ISODD( INT(表格4_711[[#This Row],[DEC]]/(2^($A$1-COLUMN())))),1,0)</f>
        <v>0</v>
      </c>
      <c r="H39" s="123">
        <f>IF(ISODD( INT(表格4_711[[#This Row],[DEC]]/(2^($A$1-COLUMN())))),1,0)</f>
        <v>1</v>
      </c>
      <c r="I39" s="212" t="str">
        <f xml:space="preserve"> IF(bitand(表格4_711[[#This Row],[DEC]],7)&lt;1,"//", VLOOKUP(INT(表格4_711[[#This Row],[DEC]]/8),表格4_7112[],5,FALSE))</f>
        <v>Paralysis</v>
      </c>
      <c r="J39" s="147" t="str">
        <f xml:space="preserve"> VLOOKUP(bitand(表格4_711[[#This Row],[DEC]],8-1),表格2[],2,FALSE)</f>
        <v>_RangeUP</v>
      </c>
      <c r="K39" s="169" t="str">
        <f>CONCATENATE(表格4_711[[#This Row],[反應]],表格4_711[[#This Row],[補正]]," = ",表格4_711[[#This Row],[DEC]],",")</f>
        <v>Paralysis_RangeUP = 37,</v>
      </c>
      <c r="L3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痺_範圍提昇",</v>
      </c>
    </row>
    <row r="40" spans="2:12" x14ac:dyDescent="0.25">
      <c r="B40" s="57">
        <f t="shared" si="0"/>
        <v>38</v>
      </c>
      <c r="C40" s="122" t="str">
        <f>DEC2BIN(表格4_711[[#This Row],[DEC]]/2^($A$1-COLUMN()),3)</f>
        <v>001</v>
      </c>
      <c r="D40" s="123">
        <f>IF(ISODD( INT(表格4_711[[#This Row],[DEC]]/(2^($A$1-COLUMN())))),1,0)</f>
        <v>0</v>
      </c>
      <c r="E40" s="123">
        <f>IF(ISODD( INT(表格4_711[[#This Row],[DEC]]/(2^($A$1-COLUMN())))),1,0)</f>
        <v>0</v>
      </c>
      <c r="F40" s="124">
        <f>IF(ISODD( INT(表格4_711[[#This Row],[DEC]]/(2^($A$1-COLUMN())))),1,0)</f>
        <v>1</v>
      </c>
      <c r="G40" s="123">
        <f>IF(ISODD( INT(表格4_711[[#This Row],[DEC]]/(2^($A$1-COLUMN())))),1,0)</f>
        <v>1</v>
      </c>
      <c r="H40" s="123">
        <f>IF(ISODD( INT(表格4_711[[#This Row],[DEC]]/(2^($A$1-COLUMN())))),1,0)</f>
        <v>0</v>
      </c>
      <c r="I40" s="212" t="str">
        <f xml:space="preserve"> IF(bitand(表格4_711[[#This Row],[DEC]],7)&lt;1,"//", VLOOKUP(INT(表格4_711[[#This Row],[DEC]]/8),表格4_7112[],5,FALSE))</f>
        <v>Paralysis</v>
      </c>
      <c r="J40" s="147" t="str">
        <f xml:space="preserve"> VLOOKUP(bitand(表格4_711[[#This Row],[DEC]],8-1),表格2[],2,FALSE)</f>
        <v>_IntensityDown</v>
      </c>
      <c r="K40" s="169" t="str">
        <f>CONCATENATE(表格4_711[[#This Row],[反應]],表格4_711[[#This Row],[補正]]," = ",表格4_711[[#This Row],[DEC]],",")</f>
        <v>Paralysis_IntensityDown = 38,</v>
      </c>
      <c r="L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痺_強度降低",</v>
      </c>
    </row>
    <row r="41" spans="2:12" x14ac:dyDescent="0.25">
      <c r="B41" s="57">
        <f t="shared" si="0"/>
        <v>39</v>
      </c>
      <c r="C41" s="122" t="str">
        <f>DEC2BIN(表格4_711[[#This Row],[DEC]]/2^($A$1-COLUMN()),3)</f>
        <v>001</v>
      </c>
      <c r="D41" s="123">
        <f>IF(ISODD( INT(表格4_711[[#This Row],[DEC]]/(2^($A$1-COLUMN())))),1,0)</f>
        <v>0</v>
      </c>
      <c r="E41" s="123">
        <f>IF(ISODD( INT(表格4_711[[#This Row],[DEC]]/(2^($A$1-COLUMN())))),1,0)</f>
        <v>0</v>
      </c>
      <c r="F41" s="124">
        <f>IF(ISODD( INT(表格4_711[[#This Row],[DEC]]/(2^($A$1-COLUMN())))),1,0)</f>
        <v>1</v>
      </c>
      <c r="G41" s="123">
        <f>IF(ISODD( INT(表格4_711[[#This Row],[DEC]]/(2^($A$1-COLUMN())))),1,0)</f>
        <v>1</v>
      </c>
      <c r="H41" s="123">
        <f>IF(ISODD( INT(表格4_711[[#This Row],[DEC]]/(2^($A$1-COLUMN())))),1,0)</f>
        <v>1</v>
      </c>
      <c r="I41" s="212" t="str">
        <f xml:space="preserve"> IF(bitand(表格4_711[[#This Row],[DEC]],7)&lt;1,"//", VLOOKUP(INT(表格4_711[[#This Row],[DEC]]/8),表格4_7112[],5,FALSE))</f>
        <v>Paralysis</v>
      </c>
      <c r="J41" s="147" t="str">
        <f xml:space="preserve"> VLOOKUP(bitand(表格4_711[[#This Row],[DEC]],8-1),表格2[],2,FALSE)</f>
        <v>_IntensityUp</v>
      </c>
      <c r="K41" s="169" t="str">
        <f>CONCATENATE(表格4_711[[#This Row],[反應]],表格4_711[[#This Row],[補正]]," = ",表格4_711[[#This Row],[DEC]],",")</f>
        <v>Paralysis_IntensityUp = 39,</v>
      </c>
      <c r="L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痺_強度提昇",</v>
      </c>
    </row>
    <row r="42" spans="2:12" x14ac:dyDescent="0.25">
      <c r="B42" s="57">
        <f t="shared" si="0"/>
        <v>40</v>
      </c>
      <c r="C42" s="122" t="str">
        <f>DEC2BIN(表格4_711[[#This Row],[DEC]]/2^($A$1-COLUMN()),3)</f>
        <v>001</v>
      </c>
      <c r="D42" s="123">
        <f>IF(ISODD( INT(表格4_711[[#This Row],[DEC]]/(2^($A$1-COLUMN())))),1,0)</f>
        <v>0</v>
      </c>
      <c r="E42" s="123">
        <f>IF(ISODD( INT(表格4_711[[#This Row],[DEC]]/(2^($A$1-COLUMN())))),1,0)</f>
        <v>1</v>
      </c>
      <c r="F42" s="124">
        <f>IF(ISODD( INT(表格4_711[[#This Row],[DEC]]/(2^($A$1-COLUMN())))),1,0)</f>
        <v>0</v>
      </c>
      <c r="G42" s="123">
        <f>IF(ISODD( INT(表格4_711[[#This Row],[DEC]]/(2^($A$1-COLUMN())))),1,0)</f>
        <v>0</v>
      </c>
      <c r="H42" s="123">
        <f>IF(ISODD( INT(表格4_711[[#This Row],[DEC]]/(2^($A$1-COLUMN())))),1,0)</f>
        <v>0</v>
      </c>
      <c r="I42" s="192" t="str">
        <f xml:space="preserve"> IF(bitand(表格4_711[[#This Row],[DEC]],7)&lt;1,"//", VLOOKUP(INT(表格4_711[[#This Row],[DEC]]/8),表格4_7112[],5,FALSE))</f>
        <v>//</v>
      </c>
      <c r="J42" s="145" t="str">
        <f xml:space="preserve"> VLOOKUP(bitand(表格4_711[[#This Row],[DEC]],8-1),表格2[],2,FALSE)</f>
        <v/>
      </c>
      <c r="K42" s="144" t="str">
        <f>CONCATENATE(表格4_711[[#This Row],[反應]],表格4_711[[#This Row],[補正]]," = ",表格4_711[[#This Row],[DEC]],",")</f>
        <v>// = 40,</v>
      </c>
      <c r="L4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43" spans="2:12" x14ac:dyDescent="0.25">
      <c r="B43" s="57">
        <f t="shared" si="0"/>
        <v>41</v>
      </c>
      <c r="C43" s="122" t="str">
        <f>DEC2BIN(表格4_711[[#This Row],[DEC]]/2^($A$1-COLUMN()),3)</f>
        <v>001</v>
      </c>
      <c r="D43" s="123">
        <f>IF(ISODD( INT(表格4_711[[#This Row],[DEC]]/(2^($A$1-COLUMN())))),1,0)</f>
        <v>0</v>
      </c>
      <c r="E43" s="123">
        <f>IF(ISODD( INT(表格4_711[[#This Row],[DEC]]/(2^($A$1-COLUMN())))),1,0)</f>
        <v>1</v>
      </c>
      <c r="F43" s="124">
        <f>IF(ISODD( INT(表格4_711[[#This Row],[DEC]]/(2^($A$1-COLUMN())))),1,0)</f>
        <v>0</v>
      </c>
      <c r="G43" s="123">
        <f>IF(ISODD( INT(表格4_711[[#This Row],[DEC]]/(2^($A$1-COLUMN())))),1,0)</f>
        <v>0</v>
      </c>
      <c r="H43" s="123">
        <f>IF(ISODD( INT(表格4_711[[#This Row],[DEC]]/(2^($A$1-COLUMN())))),1,0)</f>
        <v>1</v>
      </c>
      <c r="I43" s="181" t="str">
        <f xml:space="preserve"> IF(bitand(表格4_711[[#This Row],[DEC]],7)&lt;1,"//", VLOOKUP(INT(表格4_711[[#This Row],[DEC]]/8),表格4_7112[],5,FALSE))</f>
        <v>Electrified</v>
      </c>
      <c r="J43" s="174" t="str">
        <f xml:space="preserve"> VLOOKUP(bitand(表格4_711[[#This Row],[DEC]],8-1),表格2[],2,FALSE)</f>
        <v/>
      </c>
      <c r="K43" s="174" t="str">
        <f>CONCATENATE(表格4_711[[#This Row],[反應]],表格4_711[[#This Row],[補正]]," = ",表格4_711[[#This Row],[DEC]],",")</f>
        <v>Electrified = 41,</v>
      </c>
      <c r="L43" s="17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電",</v>
      </c>
    </row>
    <row r="44" spans="2:12" x14ac:dyDescent="0.25">
      <c r="B44" s="57">
        <f t="shared" si="0"/>
        <v>42</v>
      </c>
      <c r="C44" s="122" t="str">
        <f>DEC2BIN(表格4_711[[#This Row],[DEC]]/2^($A$1-COLUMN()),3)</f>
        <v>001</v>
      </c>
      <c r="D44" s="123">
        <f>IF(ISODD( INT(表格4_711[[#This Row],[DEC]]/(2^($A$1-COLUMN())))),1,0)</f>
        <v>0</v>
      </c>
      <c r="E44" s="123">
        <f>IF(ISODD( INT(表格4_711[[#This Row],[DEC]]/(2^($A$1-COLUMN())))),1,0)</f>
        <v>1</v>
      </c>
      <c r="F44" s="124">
        <f>IF(ISODD( INT(表格4_711[[#This Row],[DEC]]/(2^($A$1-COLUMN())))),1,0)</f>
        <v>0</v>
      </c>
      <c r="G44" s="123">
        <f>IF(ISODD( INT(表格4_711[[#This Row],[DEC]]/(2^($A$1-COLUMN())))),1,0)</f>
        <v>1</v>
      </c>
      <c r="H44" s="123">
        <f>IF(ISODD( INT(表格4_711[[#This Row],[DEC]]/(2^($A$1-COLUMN())))),1,0)</f>
        <v>0</v>
      </c>
      <c r="I44" s="210" t="str">
        <f xml:space="preserve"> IF(bitand(表格4_711[[#This Row],[DEC]],7)&lt;1,"//", VLOOKUP(INT(表格4_711[[#This Row],[DEC]]/8),表格4_7112[],5,FALSE))</f>
        <v>Electrified</v>
      </c>
      <c r="J44" s="207" t="str">
        <f xml:space="preserve"> VLOOKUP(bitand(表格4_711[[#This Row],[DEC]],8-1),表格2[],2,FALSE)</f>
        <v>_Clear</v>
      </c>
      <c r="K44" s="169" t="str">
        <f>CONCATENATE(表格4_711[[#This Row],[反應]],表格4_711[[#This Row],[補正]]," = ",表格4_711[[#This Row],[DEC]],",")</f>
        <v>Electrified_Clear = 42,</v>
      </c>
      <c r="L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電_解除",</v>
      </c>
    </row>
    <row r="45" spans="2:12" x14ac:dyDescent="0.25">
      <c r="B45" s="57">
        <f t="shared" si="0"/>
        <v>43</v>
      </c>
      <c r="C45" s="122" t="str">
        <f>DEC2BIN(表格4_711[[#This Row],[DEC]]/2^($A$1-COLUMN()),3)</f>
        <v>001</v>
      </c>
      <c r="D45" s="123">
        <f>IF(ISODD( INT(表格4_711[[#This Row],[DEC]]/(2^($A$1-COLUMN())))),1,0)</f>
        <v>0</v>
      </c>
      <c r="E45" s="123">
        <f>IF(ISODD( INT(表格4_711[[#This Row],[DEC]]/(2^($A$1-COLUMN())))),1,0)</f>
        <v>1</v>
      </c>
      <c r="F45" s="124">
        <f>IF(ISODD( INT(表格4_711[[#This Row],[DEC]]/(2^($A$1-COLUMN())))),1,0)</f>
        <v>0</v>
      </c>
      <c r="G45" s="123">
        <f>IF(ISODD( INT(表格4_711[[#This Row],[DEC]]/(2^($A$1-COLUMN())))),1,0)</f>
        <v>1</v>
      </c>
      <c r="H45" s="123">
        <f>IF(ISODD( INT(表格4_711[[#This Row],[DEC]]/(2^($A$1-COLUMN())))),1,0)</f>
        <v>1</v>
      </c>
      <c r="I45" s="213" t="str">
        <f xml:space="preserve"> IF(bitand(表格4_711[[#This Row],[DEC]],7)&lt;1,"//", VLOOKUP(INT(表格4_711[[#This Row],[DEC]]/8),表格4_7112[],5,FALSE))</f>
        <v>Electrified</v>
      </c>
      <c r="J45" s="208" t="str">
        <f xml:space="preserve"> VLOOKUP(bitand(表格4_711[[#This Row],[DEC]],8-1),表格2[],2,FALSE)</f>
        <v>_Spread</v>
      </c>
      <c r="K45" s="169" t="str">
        <f>CONCATENATE(表格4_711[[#This Row],[反應]],表格4_711[[#This Row],[補正]]," = ",表格4_711[[#This Row],[DEC]],",")</f>
        <v>Electrified_Spread = 43,</v>
      </c>
      <c r="L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電_散播",</v>
      </c>
    </row>
    <row r="46" spans="2:12" x14ac:dyDescent="0.25">
      <c r="B46" s="57">
        <f t="shared" si="0"/>
        <v>44</v>
      </c>
      <c r="C46" s="122" t="str">
        <f>DEC2BIN(表格4_711[[#This Row],[DEC]]/2^($A$1-COLUMN()),3)</f>
        <v>001</v>
      </c>
      <c r="D46" s="123">
        <f>IF(ISODD( INT(表格4_711[[#This Row],[DEC]]/(2^($A$1-COLUMN())))),1,0)</f>
        <v>0</v>
      </c>
      <c r="E46" s="123">
        <f>IF(ISODD( INT(表格4_711[[#This Row],[DEC]]/(2^($A$1-COLUMN())))),1,0)</f>
        <v>1</v>
      </c>
      <c r="F46" s="124">
        <f>IF(ISODD( INT(表格4_711[[#This Row],[DEC]]/(2^($A$1-COLUMN())))),1,0)</f>
        <v>1</v>
      </c>
      <c r="G46" s="123">
        <f>IF(ISODD( INT(表格4_711[[#This Row],[DEC]]/(2^($A$1-COLUMN())))),1,0)</f>
        <v>0</v>
      </c>
      <c r="H46" s="123">
        <f>IF(ISODD( INT(表格4_711[[#This Row],[DEC]]/(2^($A$1-COLUMN())))),1,0)</f>
        <v>0</v>
      </c>
      <c r="I46" s="212" t="str">
        <f xml:space="preserve"> IF(bitand(表格4_711[[#This Row],[DEC]],7)&lt;1,"//", VLOOKUP(INT(表格4_711[[#This Row],[DEC]]/8),表格4_7112[],5,FALSE))</f>
        <v>Electrified</v>
      </c>
      <c r="J46" s="147" t="str">
        <f xml:space="preserve"> VLOOKUP(bitand(表格4_711[[#This Row],[DEC]],8-1),表格2[],2,FALSE)</f>
        <v>_RangeDown</v>
      </c>
      <c r="K46" s="169" t="str">
        <f>CONCATENATE(表格4_711[[#This Row],[反應]],表格4_711[[#This Row],[補正]]," = ",表格4_711[[#This Row],[DEC]],",")</f>
        <v>Electrified_RangeDown = 44,</v>
      </c>
      <c r="L4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電_範圍降低",</v>
      </c>
    </row>
    <row r="47" spans="2:12" x14ac:dyDescent="0.25">
      <c r="B47" s="57">
        <f t="shared" si="0"/>
        <v>45</v>
      </c>
      <c r="C47" s="122" t="str">
        <f>DEC2BIN(表格4_711[[#This Row],[DEC]]/2^($A$1-COLUMN()),3)</f>
        <v>001</v>
      </c>
      <c r="D47" s="123">
        <f>IF(ISODD( INT(表格4_711[[#This Row],[DEC]]/(2^($A$1-COLUMN())))),1,0)</f>
        <v>0</v>
      </c>
      <c r="E47" s="123">
        <f>IF(ISODD( INT(表格4_711[[#This Row],[DEC]]/(2^($A$1-COLUMN())))),1,0)</f>
        <v>1</v>
      </c>
      <c r="F47" s="124">
        <f>IF(ISODD( INT(表格4_711[[#This Row],[DEC]]/(2^($A$1-COLUMN())))),1,0)</f>
        <v>1</v>
      </c>
      <c r="G47" s="123">
        <f>IF(ISODD( INT(表格4_711[[#This Row],[DEC]]/(2^($A$1-COLUMN())))),1,0)</f>
        <v>0</v>
      </c>
      <c r="H47" s="123">
        <f>IF(ISODD( INT(表格4_711[[#This Row],[DEC]]/(2^($A$1-COLUMN())))),1,0)</f>
        <v>1</v>
      </c>
      <c r="I47" s="212" t="str">
        <f xml:space="preserve"> IF(bitand(表格4_711[[#This Row],[DEC]],7)&lt;1,"//", VLOOKUP(INT(表格4_711[[#This Row],[DEC]]/8),表格4_7112[],5,FALSE))</f>
        <v>Electrified</v>
      </c>
      <c r="J47" s="147" t="str">
        <f xml:space="preserve"> VLOOKUP(bitand(表格4_711[[#This Row],[DEC]],8-1),表格2[],2,FALSE)</f>
        <v>_RangeUP</v>
      </c>
      <c r="K47" s="169" t="str">
        <f>CONCATENATE(表格4_711[[#This Row],[反應]],表格4_711[[#This Row],[補正]]," = ",表格4_711[[#This Row],[DEC]],",")</f>
        <v>Electrified_RangeUP = 45,</v>
      </c>
      <c r="L4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電_範圍提昇",</v>
      </c>
    </row>
    <row r="48" spans="2:12" x14ac:dyDescent="0.25">
      <c r="B48" s="57">
        <f t="shared" si="0"/>
        <v>46</v>
      </c>
      <c r="C48" s="122" t="str">
        <f>DEC2BIN(表格4_711[[#This Row],[DEC]]/2^($A$1-COLUMN()),3)</f>
        <v>001</v>
      </c>
      <c r="D48" s="123">
        <f>IF(ISODD( INT(表格4_711[[#This Row],[DEC]]/(2^($A$1-COLUMN())))),1,0)</f>
        <v>0</v>
      </c>
      <c r="E48" s="123">
        <f>IF(ISODD( INT(表格4_711[[#This Row],[DEC]]/(2^($A$1-COLUMN())))),1,0)</f>
        <v>1</v>
      </c>
      <c r="F48" s="124">
        <f>IF(ISODD( INT(表格4_711[[#This Row],[DEC]]/(2^($A$1-COLUMN())))),1,0)</f>
        <v>1</v>
      </c>
      <c r="G48" s="123">
        <f>IF(ISODD( INT(表格4_711[[#This Row],[DEC]]/(2^($A$1-COLUMN())))),1,0)</f>
        <v>1</v>
      </c>
      <c r="H48" s="123">
        <f>IF(ISODD( INT(表格4_711[[#This Row],[DEC]]/(2^($A$1-COLUMN())))),1,0)</f>
        <v>0</v>
      </c>
      <c r="I48" s="212" t="str">
        <f xml:space="preserve"> IF(bitand(表格4_711[[#This Row],[DEC]],7)&lt;1,"//", VLOOKUP(INT(表格4_711[[#This Row],[DEC]]/8),表格4_7112[],5,FALSE))</f>
        <v>Electrified</v>
      </c>
      <c r="J48" s="147" t="str">
        <f xml:space="preserve"> VLOOKUP(bitand(表格4_711[[#This Row],[DEC]],8-1),表格2[],2,FALSE)</f>
        <v>_IntensityDown</v>
      </c>
      <c r="K48" s="169" t="str">
        <f>CONCATENATE(表格4_711[[#This Row],[反應]],表格4_711[[#This Row],[補正]]," = ",表格4_711[[#This Row],[DEC]],",")</f>
        <v>Electrified_IntensityDown = 46,</v>
      </c>
      <c r="L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電_強度降低",</v>
      </c>
    </row>
    <row r="49" spans="2:12" x14ac:dyDescent="0.25">
      <c r="B49" s="57">
        <f t="shared" si="0"/>
        <v>47</v>
      </c>
      <c r="C49" s="122" t="str">
        <f>DEC2BIN(表格4_711[[#This Row],[DEC]]/2^($A$1-COLUMN()),3)</f>
        <v>001</v>
      </c>
      <c r="D49" s="123">
        <f>IF(ISODD( INT(表格4_711[[#This Row],[DEC]]/(2^($A$1-COLUMN())))),1,0)</f>
        <v>0</v>
      </c>
      <c r="E49" s="123">
        <f>IF(ISODD( INT(表格4_711[[#This Row],[DEC]]/(2^($A$1-COLUMN())))),1,0)</f>
        <v>1</v>
      </c>
      <c r="F49" s="124">
        <f>IF(ISODD( INT(表格4_711[[#This Row],[DEC]]/(2^($A$1-COLUMN())))),1,0)</f>
        <v>1</v>
      </c>
      <c r="G49" s="123">
        <f>IF(ISODD( INT(表格4_711[[#This Row],[DEC]]/(2^($A$1-COLUMN())))),1,0)</f>
        <v>1</v>
      </c>
      <c r="H49" s="123">
        <f>IF(ISODD( INT(表格4_711[[#This Row],[DEC]]/(2^($A$1-COLUMN())))),1,0)</f>
        <v>1</v>
      </c>
      <c r="I49" s="212" t="str">
        <f xml:space="preserve"> IF(bitand(表格4_711[[#This Row],[DEC]],7)&lt;1,"//", VLOOKUP(INT(表格4_711[[#This Row],[DEC]]/8),表格4_7112[],5,FALSE))</f>
        <v>Electrified</v>
      </c>
      <c r="J49" s="147" t="str">
        <f xml:space="preserve"> VLOOKUP(bitand(表格4_711[[#This Row],[DEC]],8-1),表格2[],2,FALSE)</f>
        <v>_IntensityUp</v>
      </c>
      <c r="K49" s="169" t="str">
        <f>CONCATENATE(表格4_711[[#This Row],[反應]],表格4_711[[#This Row],[補正]]," = ",表格4_711[[#This Row],[DEC]],",")</f>
        <v>Electrified_IntensityUp = 47,</v>
      </c>
      <c r="L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電_強度提昇",</v>
      </c>
    </row>
    <row r="50" spans="2:12" x14ac:dyDescent="0.25">
      <c r="B50" s="57">
        <f t="shared" si="0"/>
        <v>48</v>
      </c>
      <c r="C50" s="122" t="str">
        <f>DEC2BIN(表格4_711[[#This Row],[DEC]]/2^($A$1-COLUMN()),3)</f>
        <v>001</v>
      </c>
      <c r="D50" s="123">
        <f>IF(ISODD( INT(表格4_711[[#This Row],[DEC]]/(2^($A$1-COLUMN())))),1,0)</f>
        <v>1</v>
      </c>
      <c r="E50" s="123">
        <f>IF(ISODD( INT(表格4_711[[#This Row],[DEC]]/(2^($A$1-COLUMN())))),1,0)</f>
        <v>0</v>
      </c>
      <c r="F50" s="124">
        <f>IF(ISODD( INT(表格4_711[[#This Row],[DEC]]/(2^($A$1-COLUMN())))),1,0)</f>
        <v>0</v>
      </c>
      <c r="G50" s="123">
        <f>IF(ISODD( INT(表格4_711[[#This Row],[DEC]]/(2^($A$1-COLUMN())))),1,0)</f>
        <v>0</v>
      </c>
      <c r="H50" s="123">
        <f>IF(ISODD( INT(表格4_711[[#This Row],[DEC]]/(2^($A$1-COLUMN())))),1,0)</f>
        <v>0</v>
      </c>
      <c r="I50" s="192" t="str">
        <f xml:space="preserve"> IF(bitand(表格4_711[[#This Row],[DEC]],7)&lt;1,"//", VLOOKUP(INT(表格4_711[[#This Row],[DEC]]/8),表格4_7112[],5,FALSE))</f>
        <v>//</v>
      </c>
      <c r="J50" s="145" t="str">
        <f xml:space="preserve"> VLOOKUP(bitand(表格4_711[[#This Row],[DEC]],8-1),表格2[],2,FALSE)</f>
        <v/>
      </c>
      <c r="K50" s="144" t="str">
        <f>CONCATENATE(表格4_711[[#This Row],[反應]],表格4_711[[#This Row],[補正]]," = ",表格4_711[[#This Row],[DEC]],",")</f>
        <v>// = 48,</v>
      </c>
      <c r="L5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51" spans="2:12" x14ac:dyDescent="0.25">
      <c r="B51" s="57">
        <f t="shared" si="0"/>
        <v>49</v>
      </c>
      <c r="C51" s="122" t="str">
        <f>DEC2BIN(表格4_711[[#This Row],[DEC]]/2^($A$1-COLUMN()),3)</f>
        <v>001</v>
      </c>
      <c r="D51" s="123">
        <f>IF(ISODD( INT(表格4_711[[#This Row],[DEC]]/(2^($A$1-COLUMN())))),1,0)</f>
        <v>1</v>
      </c>
      <c r="E51" s="123">
        <f>IF(ISODD( INT(表格4_711[[#This Row],[DEC]]/(2^($A$1-COLUMN())))),1,0)</f>
        <v>0</v>
      </c>
      <c r="F51" s="124">
        <f>IF(ISODD( INT(表格4_711[[#This Row],[DEC]]/(2^($A$1-COLUMN())))),1,0)</f>
        <v>0</v>
      </c>
      <c r="G51" s="123">
        <f>IF(ISODD( INT(表格4_711[[#This Row],[DEC]]/(2^($A$1-COLUMN())))),1,0)</f>
        <v>0</v>
      </c>
      <c r="H51" s="123">
        <f>IF(ISODD( INT(表格4_711[[#This Row],[DEC]]/(2^($A$1-COLUMN())))),1,0)</f>
        <v>1</v>
      </c>
      <c r="I51" s="182" t="str">
        <f xml:space="preserve"> IF(bitand(表格4_711[[#This Row],[DEC]],7)&lt;1,"//", VLOOKUP(INT(表格4_711[[#This Row],[DEC]]/8),表格4_7112[],5,FALSE))</f>
        <v>Impact</v>
      </c>
      <c r="J51" s="175" t="str">
        <f xml:space="preserve"> VLOOKUP(bitand(表格4_711[[#This Row],[DEC]],8-1),表格2[],2,FALSE)</f>
        <v/>
      </c>
      <c r="K51" s="175" t="str">
        <f>CONCATENATE(表格4_711[[#This Row],[反應]],表格4_711[[#This Row],[補正]]," = ",表格4_711[[#This Row],[DEC]],",")</f>
        <v>Impact = 49,</v>
      </c>
      <c r="L51" s="17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擊",</v>
      </c>
    </row>
    <row r="52" spans="2:12" x14ac:dyDescent="0.25">
      <c r="B52" s="57">
        <f t="shared" si="0"/>
        <v>50</v>
      </c>
      <c r="C52" s="122" t="str">
        <f>DEC2BIN(表格4_711[[#This Row],[DEC]]/2^($A$1-COLUMN()),3)</f>
        <v>001</v>
      </c>
      <c r="D52" s="123">
        <f>IF(ISODD( INT(表格4_711[[#This Row],[DEC]]/(2^($A$1-COLUMN())))),1,0)</f>
        <v>1</v>
      </c>
      <c r="E52" s="123">
        <f>IF(ISODD( INT(表格4_711[[#This Row],[DEC]]/(2^($A$1-COLUMN())))),1,0)</f>
        <v>0</v>
      </c>
      <c r="F52" s="124">
        <f>IF(ISODD( INT(表格4_711[[#This Row],[DEC]]/(2^($A$1-COLUMN())))),1,0)</f>
        <v>0</v>
      </c>
      <c r="G52" s="123">
        <f>IF(ISODD( INT(表格4_711[[#This Row],[DEC]]/(2^($A$1-COLUMN())))),1,0)</f>
        <v>1</v>
      </c>
      <c r="H52" s="123">
        <f>IF(ISODD( INT(表格4_711[[#This Row],[DEC]]/(2^($A$1-COLUMN())))),1,0)</f>
        <v>0</v>
      </c>
      <c r="I52" s="210" t="str">
        <f xml:space="preserve"> IF(bitand(表格4_711[[#This Row],[DEC]],7)&lt;1,"//", VLOOKUP(INT(表格4_711[[#This Row],[DEC]]/8),表格4_7112[],5,FALSE))</f>
        <v>Impact</v>
      </c>
      <c r="J52" s="207" t="str">
        <f xml:space="preserve"> VLOOKUP(bitand(表格4_711[[#This Row],[DEC]],8-1),表格2[],2,FALSE)</f>
        <v>_Clear</v>
      </c>
      <c r="K52" s="169" t="str">
        <f>CONCATENATE(表格4_711[[#This Row],[反應]],表格4_711[[#This Row],[補正]]," = ",表格4_711[[#This Row],[DEC]],",")</f>
        <v>Impact_Clear = 50,</v>
      </c>
      <c r="L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擊_解除",</v>
      </c>
    </row>
    <row r="53" spans="2:12" x14ac:dyDescent="0.25">
      <c r="B53" s="57">
        <f t="shared" si="0"/>
        <v>51</v>
      </c>
      <c r="C53" s="122" t="str">
        <f>DEC2BIN(表格4_711[[#This Row],[DEC]]/2^($A$1-COLUMN()),3)</f>
        <v>001</v>
      </c>
      <c r="D53" s="123">
        <f>IF(ISODD( INT(表格4_711[[#This Row],[DEC]]/(2^($A$1-COLUMN())))),1,0)</f>
        <v>1</v>
      </c>
      <c r="E53" s="123">
        <f>IF(ISODD( INT(表格4_711[[#This Row],[DEC]]/(2^($A$1-COLUMN())))),1,0)</f>
        <v>0</v>
      </c>
      <c r="F53" s="124">
        <f>IF(ISODD( INT(表格4_711[[#This Row],[DEC]]/(2^($A$1-COLUMN())))),1,0)</f>
        <v>0</v>
      </c>
      <c r="G53" s="123">
        <f>IF(ISODD( INT(表格4_711[[#This Row],[DEC]]/(2^($A$1-COLUMN())))),1,0)</f>
        <v>1</v>
      </c>
      <c r="H53" s="123">
        <f>IF(ISODD( INT(表格4_711[[#This Row],[DEC]]/(2^($A$1-COLUMN())))),1,0)</f>
        <v>1</v>
      </c>
      <c r="I53" s="213" t="str">
        <f xml:space="preserve"> IF(bitand(表格4_711[[#This Row],[DEC]],7)&lt;1,"//", VLOOKUP(INT(表格4_711[[#This Row],[DEC]]/8),表格4_7112[],5,FALSE))</f>
        <v>Impact</v>
      </c>
      <c r="J53" s="208" t="str">
        <f xml:space="preserve"> VLOOKUP(bitand(表格4_711[[#This Row],[DEC]],8-1),表格2[],2,FALSE)</f>
        <v>_Spread</v>
      </c>
      <c r="K53" s="169" t="str">
        <f>CONCATENATE(表格4_711[[#This Row],[反應]],表格4_711[[#This Row],[補正]]," = ",表格4_711[[#This Row],[DEC]],",")</f>
        <v>Impact_Spread = 51,</v>
      </c>
      <c r="L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擊_散播",</v>
      </c>
    </row>
    <row r="54" spans="2:12" x14ac:dyDescent="0.25">
      <c r="B54" s="57">
        <f t="shared" si="0"/>
        <v>52</v>
      </c>
      <c r="C54" s="122" t="str">
        <f>DEC2BIN(表格4_711[[#This Row],[DEC]]/2^($A$1-COLUMN()),3)</f>
        <v>001</v>
      </c>
      <c r="D54" s="123">
        <f>IF(ISODD( INT(表格4_711[[#This Row],[DEC]]/(2^($A$1-COLUMN())))),1,0)</f>
        <v>1</v>
      </c>
      <c r="E54" s="123">
        <f>IF(ISODD( INT(表格4_711[[#This Row],[DEC]]/(2^($A$1-COLUMN())))),1,0)</f>
        <v>0</v>
      </c>
      <c r="F54" s="124">
        <f>IF(ISODD( INT(表格4_711[[#This Row],[DEC]]/(2^($A$1-COLUMN())))),1,0)</f>
        <v>1</v>
      </c>
      <c r="G54" s="123">
        <f>IF(ISODD( INT(表格4_711[[#This Row],[DEC]]/(2^($A$1-COLUMN())))),1,0)</f>
        <v>0</v>
      </c>
      <c r="H54" s="123">
        <f>IF(ISODD( INT(表格4_711[[#This Row],[DEC]]/(2^($A$1-COLUMN())))),1,0)</f>
        <v>0</v>
      </c>
      <c r="I54" s="212" t="str">
        <f xml:space="preserve"> IF(bitand(表格4_711[[#This Row],[DEC]],7)&lt;1,"//", VLOOKUP(INT(表格4_711[[#This Row],[DEC]]/8),表格4_7112[],5,FALSE))</f>
        <v>Impact</v>
      </c>
      <c r="J54" s="147" t="str">
        <f xml:space="preserve"> VLOOKUP(bitand(表格4_711[[#This Row],[DEC]],8-1),表格2[],2,FALSE)</f>
        <v>_RangeDown</v>
      </c>
      <c r="K54" s="169" t="str">
        <f>CONCATENATE(表格4_711[[#This Row],[反應]],表格4_711[[#This Row],[補正]]," = ",表格4_711[[#This Row],[DEC]],",")</f>
        <v>Impact_RangeDown = 52,</v>
      </c>
      <c r="L5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擊_範圍降低",</v>
      </c>
    </row>
    <row r="55" spans="2:12" x14ac:dyDescent="0.25">
      <c r="B55" s="57">
        <f t="shared" si="0"/>
        <v>53</v>
      </c>
      <c r="C55" s="122" t="str">
        <f>DEC2BIN(表格4_711[[#This Row],[DEC]]/2^($A$1-COLUMN()),3)</f>
        <v>001</v>
      </c>
      <c r="D55" s="123">
        <f>IF(ISODD( INT(表格4_711[[#This Row],[DEC]]/(2^($A$1-COLUMN())))),1,0)</f>
        <v>1</v>
      </c>
      <c r="E55" s="123">
        <f>IF(ISODD( INT(表格4_711[[#This Row],[DEC]]/(2^($A$1-COLUMN())))),1,0)</f>
        <v>0</v>
      </c>
      <c r="F55" s="124">
        <f>IF(ISODD( INT(表格4_711[[#This Row],[DEC]]/(2^($A$1-COLUMN())))),1,0)</f>
        <v>1</v>
      </c>
      <c r="G55" s="123">
        <f>IF(ISODD( INT(表格4_711[[#This Row],[DEC]]/(2^($A$1-COLUMN())))),1,0)</f>
        <v>0</v>
      </c>
      <c r="H55" s="123">
        <f>IF(ISODD( INT(表格4_711[[#This Row],[DEC]]/(2^($A$1-COLUMN())))),1,0)</f>
        <v>1</v>
      </c>
      <c r="I55" s="212" t="str">
        <f xml:space="preserve"> IF(bitand(表格4_711[[#This Row],[DEC]],7)&lt;1,"//", VLOOKUP(INT(表格4_711[[#This Row],[DEC]]/8),表格4_7112[],5,FALSE))</f>
        <v>Impact</v>
      </c>
      <c r="J55" s="147" t="str">
        <f xml:space="preserve"> VLOOKUP(bitand(表格4_711[[#This Row],[DEC]],8-1),表格2[],2,FALSE)</f>
        <v>_RangeUP</v>
      </c>
      <c r="K55" s="169" t="str">
        <f>CONCATENATE(表格4_711[[#This Row],[反應]],表格4_711[[#This Row],[補正]]," = ",表格4_711[[#This Row],[DEC]],",")</f>
        <v>Impact_RangeUP = 53,</v>
      </c>
      <c r="L5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擊_範圍提昇",</v>
      </c>
    </row>
    <row r="56" spans="2:12" x14ac:dyDescent="0.25">
      <c r="B56" s="57">
        <f t="shared" si="0"/>
        <v>54</v>
      </c>
      <c r="C56" s="122" t="str">
        <f>DEC2BIN(表格4_711[[#This Row],[DEC]]/2^($A$1-COLUMN()),3)</f>
        <v>001</v>
      </c>
      <c r="D56" s="123">
        <f>IF(ISODD( INT(表格4_711[[#This Row],[DEC]]/(2^($A$1-COLUMN())))),1,0)</f>
        <v>1</v>
      </c>
      <c r="E56" s="123">
        <f>IF(ISODD( INT(表格4_711[[#This Row],[DEC]]/(2^($A$1-COLUMN())))),1,0)</f>
        <v>0</v>
      </c>
      <c r="F56" s="124">
        <f>IF(ISODD( INT(表格4_711[[#This Row],[DEC]]/(2^($A$1-COLUMN())))),1,0)</f>
        <v>1</v>
      </c>
      <c r="G56" s="123">
        <f>IF(ISODD( INT(表格4_711[[#This Row],[DEC]]/(2^($A$1-COLUMN())))),1,0)</f>
        <v>1</v>
      </c>
      <c r="H56" s="123">
        <f>IF(ISODD( INT(表格4_711[[#This Row],[DEC]]/(2^($A$1-COLUMN())))),1,0)</f>
        <v>0</v>
      </c>
      <c r="I56" s="212" t="str">
        <f xml:space="preserve"> IF(bitand(表格4_711[[#This Row],[DEC]],7)&lt;1,"//", VLOOKUP(INT(表格4_711[[#This Row],[DEC]]/8),表格4_7112[],5,FALSE))</f>
        <v>Impact</v>
      </c>
      <c r="J56" s="147" t="str">
        <f xml:space="preserve"> VLOOKUP(bitand(表格4_711[[#This Row],[DEC]],8-1),表格2[],2,FALSE)</f>
        <v>_IntensityDown</v>
      </c>
      <c r="K56" s="169" t="str">
        <f>CONCATENATE(表格4_711[[#This Row],[反應]],表格4_711[[#This Row],[補正]]," = ",表格4_711[[#This Row],[DEC]],",")</f>
        <v>Impact_IntensityDown = 54,</v>
      </c>
      <c r="L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擊_強度降低",</v>
      </c>
    </row>
    <row r="57" spans="2:12" x14ac:dyDescent="0.25">
      <c r="B57" s="57">
        <f t="shared" si="0"/>
        <v>55</v>
      </c>
      <c r="C57" s="122" t="str">
        <f>DEC2BIN(表格4_711[[#This Row],[DEC]]/2^($A$1-COLUMN()),3)</f>
        <v>001</v>
      </c>
      <c r="D57" s="123">
        <f>IF(ISODD( INT(表格4_711[[#This Row],[DEC]]/(2^($A$1-COLUMN())))),1,0)</f>
        <v>1</v>
      </c>
      <c r="E57" s="123">
        <f>IF(ISODD( INT(表格4_711[[#This Row],[DEC]]/(2^($A$1-COLUMN())))),1,0)</f>
        <v>0</v>
      </c>
      <c r="F57" s="124">
        <f>IF(ISODD( INT(表格4_711[[#This Row],[DEC]]/(2^($A$1-COLUMN())))),1,0)</f>
        <v>1</v>
      </c>
      <c r="G57" s="123">
        <f>IF(ISODD( INT(表格4_711[[#This Row],[DEC]]/(2^($A$1-COLUMN())))),1,0)</f>
        <v>1</v>
      </c>
      <c r="H57" s="123">
        <f>IF(ISODD( INT(表格4_711[[#This Row],[DEC]]/(2^($A$1-COLUMN())))),1,0)</f>
        <v>1</v>
      </c>
      <c r="I57" s="212" t="str">
        <f xml:space="preserve"> IF(bitand(表格4_711[[#This Row],[DEC]],7)&lt;1,"//", VLOOKUP(INT(表格4_711[[#This Row],[DEC]]/8),表格4_7112[],5,FALSE))</f>
        <v>Impact</v>
      </c>
      <c r="J57" s="147" t="str">
        <f xml:space="preserve"> VLOOKUP(bitand(表格4_711[[#This Row],[DEC]],8-1),表格2[],2,FALSE)</f>
        <v>_IntensityUp</v>
      </c>
      <c r="K57" s="169" t="str">
        <f>CONCATENATE(表格4_711[[#This Row],[反應]],表格4_711[[#This Row],[補正]]," = ",表格4_711[[#This Row],[DEC]],",")</f>
        <v>Impact_IntensityUp = 55,</v>
      </c>
      <c r="L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擊_強度提昇",</v>
      </c>
    </row>
    <row r="58" spans="2:12" x14ac:dyDescent="0.25">
      <c r="B58" s="57">
        <f t="shared" si="0"/>
        <v>56</v>
      </c>
      <c r="C58" s="122" t="str">
        <f>DEC2BIN(表格4_711[[#This Row],[DEC]]/2^($A$1-COLUMN()),3)</f>
        <v>001</v>
      </c>
      <c r="D58" s="123">
        <f>IF(ISODD( INT(表格4_711[[#This Row],[DEC]]/(2^($A$1-COLUMN())))),1,0)</f>
        <v>1</v>
      </c>
      <c r="E58" s="123">
        <f>IF(ISODD( INT(表格4_711[[#This Row],[DEC]]/(2^($A$1-COLUMN())))),1,0)</f>
        <v>1</v>
      </c>
      <c r="F58" s="124">
        <f>IF(ISODD( INT(表格4_711[[#This Row],[DEC]]/(2^($A$1-COLUMN())))),1,0)</f>
        <v>0</v>
      </c>
      <c r="G58" s="123">
        <f>IF(ISODD( INT(表格4_711[[#This Row],[DEC]]/(2^($A$1-COLUMN())))),1,0)</f>
        <v>0</v>
      </c>
      <c r="H58" s="123">
        <f>IF(ISODD( INT(表格4_711[[#This Row],[DEC]]/(2^($A$1-COLUMN())))),1,0)</f>
        <v>0</v>
      </c>
      <c r="I58" s="192" t="str">
        <f xml:space="preserve"> IF(bitand(表格4_711[[#This Row],[DEC]],7)&lt;1,"//", VLOOKUP(INT(表格4_711[[#This Row],[DEC]]/8),表格4_7112[],5,FALSE))</f>
        <v>//</v>
      </c>
      <c r="J58" s="145" t="str">
        <f xml:space="preserve"> VLOOKUP(bitand(表格4_711[[#This Row],[DEC]],8-1),表格2[],2,FALSE)</f>
        <v/>
      </c>
      <c r="K58" s="144" t="str">
        <f>CONCATENATE(表格4_711[[#This Row],[反應]],表格4_711[[#This Row],[補正]]," = ",表格4_711[[#This Row],[DEC]],",")</f>
        <v>// = 56,</v>
      </c>
      <c r="L5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59" spans="2:12" x14ac:dyDescent="0.25">
      <c r="B59" s="57">
        <f t="shared" si="0"/>
        <v>57</v>
      </c>
      <c r="C59" s="122" t="str">
        <f>DEC2BIN(表格4_711[[#This Row],[DEC]]/2^($A$1-COLUMN()),3)</f>
        <v>001</v>
      </c>
      <c r="D59" s="123">
        <f>IF(ISODD( INT(表格4_711[[#This Row],[DEC]]/(2^($A$1-COLUMN())))),1,0)</f>
        <v>1</v>
      </c>
      <c r="E59" s="123">
        <f>IF(ISODD( INT(表格4_711[[#This Row],[DEC]]/(2^($A$1-COLUMN())))),1,0)</f>
        <v>1</v>
      </c>
      <c r="F59" s="124">
        <f>IF(ISODD( INT(表格4_711[[#This Row],[DEC]]/(2^($A$1-COLUMN())))),1,0)</f>
        <v>0</v>
      </c>
      <c r="G59" s="123">
        <f>IF(ISODD( INT(表格4_711[[#This Row],[DEC]]/(2^($A$1-COLUMN())))),1,0)</f>
        <v>0</v>
      </c>
      <c r="H59" s="123">
        <f>IF(ISODD( INT(表格4_711[[#This Row],[DEC]]/(2^($A$1-COLUMN())))),1,0)</f>
        <v>1</v>
      </c>
      <c r="I59" s="183" t="str">
        <f xml:space="preserve"> IF(bitand(表格4_711[[#This Row],[DEC]],7)&lt;1,"//", VLOOKUP(INT(表格4_711[[#This Row],[DEC]]/8),表格4_7112[],5,FALSE))</f>
        <v>Lightning</v>
      </c>
      <c r="J59" s="135" t="str">
        <f xml:space="preserve"> VLOOKUP(bitand(表格4_711[[#This Row],[DEC]],8-1),表格2[],2,FALSE)</f>
        <v/>
      </c>
      <c r="K59" s="135" t="str">
        <f>CONCATENATE(表格4_711[[#This Row],[反應]],表格4_711[[#This Row],[補正]]," = ",表格4_711[[#This Row],[DEC]],",")</f>
        <v>Lightning = 57,</v>
      </c>
      <c r="L59" s="13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電",</v>
      </c>
    </row>
    <row r="60" spans="2:12" x14ac:dyDescent="0.25">
      <c r="B60" s="57">
        <f t="shared" si="0"/>
        <v>58</v>
      </c>
      <c r="C60" s="122" t="str">
        <f>DEC2BIN(表格4_711[[#This Row],[DEC]]/2^($A$1-COLUMN()),3)</f>
        <v>001</v>
      </c>
      <c r="D60" s="123">
        <f>IF(ISODD( INT(表格4_711[[#This Row],[DEC]]/(2^($A$1-COLUMN())))),1,0)</f>
        <v>1</v>
      </c>
      <c r="E60" s="123">
        <f>IF(ISODD( INT(表格4_711[[#This Row],[DEC]]/(2^($A$1-COLUMN())))),1,0)</f>
        <v>1</v>
      </c>
      <c r="F60" s="124">
        <f>IF(ISODD( INT(表格4_711[[#This Row],[DEC]]/(2^($A$1-COLUMN())))),1,0)</f>
        <v>0</v>
      </c>
      <c r="G60" s="123">
        <f>IF(ISODD( INT(表格4_711[[#This Row],[DEC]]/(2^($A$1-COLUMN())))),1,0)</f>
        <v>1</v>
      </c>
      <c r="H60" s="123">
        <f>IF(ISODD( INT(表格4_711[[#This Row],[DEC]]/(2^($A$1-COLUMN())))),1,0)</f>
        <v>0</v>
      </c>
      <c r="I60" s="210" t="str">
        <f xml:space="preserve"> IF(bitand(表格4_711[[#This Row],[DEC]],7)&lt;1,"//", VLOOKUP(INT(表格4_711[[#This Row],[DEC]]/8),表格4_7112[],5,FALSE))</f>
        <v>Lightning</v>
      </c>
      <c r="J60" s="207" t="str">
        <f xml:space="preserve"> VLOOKUP(bitand(表格4_711[[#This Row],[DEC]],8-1),表格2[],2,FALSE)</f>
        <v>_Clear</v>
      </c>
      <c r="K60" s="169" t="str">
        <f>CONCATENATE(表格4_711[[#This Row],[反應]],表格4_711[[#This Row],[補正]]," = ",表格4_711[[#This Row],[DEC]],",")</f>
        <v>Lightning_Clear = 58,</v>
      </c>
      <c r="L6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電_解除",</v>
      </c>
    </row>
    <row r="61" spans="2:12" x14ac:dyDescent="0.25">
      <c r="B61" s="57">
        <f t="shared" si="0"/>
        <v>59</v>
      </c>
      <c r="C61" s="122" t="str">
        <f>DEC2BIN(表格4_711[[#This Row],[DEC]]/2^($A$1-COLUMN()),3)</f>
        <v>001</v>
      </c>
      <c r="D61" s="123">
        <f>IF(ISODD( INT(表格4_711[[#This Row],[DEC]]/(2^($A$1-COLUMN())))),1,0)</f>
        <v>1</v>
      </c>
      <c r="E61" s="123">
        <f>IF(ISODD( INT(表格4_711[[#This Row],[DEC]]/(2^($A$1-COLUMN())))),1,0)</f>
        <v>1</v>
      </c>
      <c r="F61" s="124">
        <f>IF(ISODD( INT(表格4_711[[#This Row],[DEC]]/(2^($A$1-COLUMN())))),1,0)</f>
        <v>0</v>
      </c>
      <c r="G61" s="123">
        <f>IF(ISODD( INT(表格4_711[[#This Row],[DEC]]/(2^($A$1-COLUMN())))),1,0)</f>
        <v>1</v>
      </c>
      <c r="H61" s="123">
        <f>IF(ISODD( INT(表格4_711[[#This Row],[DEC]]/(2^($A$1-COLUMN())))),1,0)</f>
        <v>1</v>
      </c>
      <c r="I61" s="213" t="str">
        <f xml:space="preserve"> IF(bitand(表格4_711[[#This Row],[DEC]],7)&lt;1,"//", VLOOKUP(INT(表格4_711[[#This Row],[DEC]]/8),表格4_7112[],5,FALSE))</f>
        <v>Lightning</v>
      </c>
      <c r="J61" s="208" t="str">
        <f xml:space="preserve"> VLOOKUP(bitand(表格4_711[[#This Row],[DEC]],8-1),表格2[],2,FALSE)</f>
        <v>_Spread</v>
      </c>
      <c r="K61" s="169" t="str">
        <f>CONCATENATE(表格4_711[[#This Row],[反應]],表格4_711[[#This Row],[補正]]," = ",表格4_711[[#This Row],[DEC]],",")</f>
        <v>Lightning_Spread = 59,</v>
      </c>
      <c r="L6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電_散播",</v>
      </c>
    </row>
    <row r="62" spans="2:12" x14ac:dyDescent="0.25">
      <c r="B62" s="57">
        <f t="shared" si="0"/>
        <v>60</v>
      </c>
      <c r="C62" s="122" t="str">
        <f>DEC2BIN(表格4_711[[#This Row],[DEC]]/2^($A$1-COLUMN()),3)</f>
        <v>001</v>
      </c>
      <c r="D62" s="123">
        <f>IF(ISODD( INT(表格4_711[[#This Row],[DEC]]/(2^($A$1-COLUMN())))),1,0)</f>
        <v>1</v>
      </c>
      <c r="E62" s="123">
        <f>IF(ISODD( INT(表格4_711[[#This Row],[DEC]]/(2^($A$1-COLUMN())))),1,0)</f>
        <v>1</v>
      </c>
      <c r="F62" s="124">
        <f>IF(ISODD( INT(表格4_711[[#This Row],[DEC]]/(2^($A$1-COLUMN())))),1,0)</f>
        <v>1</v>
      </c>
      <c r="G62" s="123">
        <f>IF(ISODD( INT(表格4_711[[#This Row],[DEC]]/(2^($A$1-COLUMN())))),1,0)</f>
        <v>0</v>
      </c>
      <c r="H62" s="123">
        <f>IF(ISODD( INT(表格4_711[[#This Row],[DEC]]/(2^($A$1-COLUMN())))),1,0)</f>
        <v>0</v>
      </c>
      <c r="I62" s="212" t="str">
        <f xml:space="preserve"> IF(bitand(表格4_711[[#This Row],[DEC]],7)&lt;1,"//", VLOOKUP(INT(表格4_711[[#This Row],[DEC]]/8),表格4_7112[],5,FALSE))</f>
        <v>Lightning</v>
      </c>
      <c r="J62" s="147" t="str">
        <f xml:space="preserve"> VLOOKUP(bitand(表格4_711[[#This Row],[DEC]],8-1),表格2[],2,FALSE)</f>
        <v>_RangeDown</v>
      </c>
      <c r="K62" s="169" t="str">
        <f>CONCATENATE(表格4_711[[#This Row],[反應]],表格4_711[[#This Row],[補正]]," = ",表格4_711[[#This Row],[DEC]],",")</f>
        <v>Lightning_RangeDown = 60,</v>
      </c>
      <c r="L6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電_範圍降低",</v>
      </c>
    </row>
    <row r="63" spans="2:12" x14ac:dyDescent="0.25">
      <c r="B63" s="57">
        <f t="shared" si="0"/>
        <v>61</v>
      </c>
      <c r="C63" s="122" t="str">
        <f>DEC2BIN(表格4_711[[#This Row],[DEC]]/2^($A$1-COLUMN()),3)</f>
        <v>001</v>
      </c>
      <c r="D63" s="123">
        <f>IF(ISODD( INT(表格4_711[[#This Row],[DEC]]/(2^($A$1-COLUMN())))),1,0)</f>
        <v>1</v>
      </c>
      <c r="E63" s="123">
        <f>IF(ISODD( INT(表格4_711[[#This Row],[DEC]]/(2^($A$1-COLUMN())))),1,0)</f>
        <v>1</v>
      </c>
      <c r="F63" s="124">
        <f>IF(ISODD( INT(表格4_711[[#This Row],[DEC]]/(2^($A$1-COLUMN())))),1,0)</f>
        <v>1</v>
      </c>
      <c r="G63" s="123">
        <f>IF(ISODD( INT(表格4_711[[#This Row],[DEC]]/(2^($A$1-COLUMN())))),1,0)</f>
        <v>0</v>
      </c>
      <c r="H63" s="123">
        <f>IF(ISODD( INT(表格4_711[[#This Row],[DEC]]/(2^($A$1-COLUMN())))),1,0)</f>
        <v>1</v>
      </c>
      <c r="I63" s="212" t="str">
        <f xml:space="preserve"> IF(bitand(表格4_711[[#This Row],[DEC]],7)&lt;1,"//", VLOOKUP(INT(表格4_711[[#This Row],[DEC]]/8),表格4_7112[],5,FALSE))</f>
        <v>Lightning</v>
      </c>
      <c r="J63" s="147" t="str">
        <f xml:space="preserve"> VLOOKUP(bitand(表格4_711[[#This Row],[DEC]],8-1),表格2[],2,FALSE)</f>
        <v>_RangeUP</v>
      </c>
      <c r="K63" s="169" t="str">
        <f>CONCATENATE(表格4_711[[#This Row],[反應]],表格4_711[[#This Row],[補正]]," = ",表格4_711[[#This Row],[DEC]],",")</f>
        <v>Lightning_RangeUP = 61,</v>
      </c>
      <c r="L6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電_範圍提昇",</v>
      </c>
    </row>
    <row r="64" spans="2:12" x14ac:dyDescent="0.25">
      <c r="B64" s="57">
        <f t="shared" si="0"/>
        <v>62</v>
      </c>
      <c r="C64" s="122" t="str">
        <f>DEC2BIN(表格4_711[[#This Row],[DEC]]/2^($A$1-COLUMN()),3)</f>
        <v>001</v>
      </c>
      <c r="D64" s="123">
        <f>IF(ISODD( INT(表格4_711[[#This Row],[DEC]]/(2^($A$1-COLUMN())))),1,0)</f>
        <v>1</v>
      </c>
      <c r="E64" s="123">
        <f>IF(ISODD( INT(表格4_711[[#This Row],[DEC]]/(2^($A$1-COLUMN())))),1,0)</f>
        <v>1</v>
      </c>
      <c r="F64" s="124">
        <f>IF(ISODD( INT(表格4_711[[#This Row],[DEC]]/(2^($A$1-COLUMN())))),1,0)</f>
        <v>1</v>
      </c>
      <c r="G64" s="123">
        <f>IF(ISODD( INT(表格4_711[[#This Row],[DEC]]/(2^($A$1-COLUMN())))),1,0)</f>
        <v>1</v>
      </c>
      <c r="H64" s="123">
        <f>IF(ISODD( INT(表格4_711[[#This Row],[DEC]]/(2^($A$1-COLUMN())))),1,0)</f>
        <v>0</v>
      </c>
      <c r="I64" s="212" t="str">
        <f xml:space="preserve"> IF(bitand(表格4_711[[#This Row],[DEC]],7)&lt;1,"//", VLOOKUP(INT(表格4_711[[#This Row],[DEC]]/8),表格4_7112[],5,FALSE))</f>
        <v>Lightning</v>
      </c>
      <c r="J64" s="147" t="str">
        <f xml:space="preserve"> VLOOKUP(bitand(表格4_711[[#This Row],[DEC]],8-1),表格2[],2,FALSE)</f>
        <v>_IntensityDown</v>
      </c>
      <c r="K64" s="169" t="str">
        <f>CONCATENATE(表格4_711[[#This Row],[反應]],表格4_711[[#This Row],[補正]]," = ",表格4_711[[#This Row],[DEC]],",")</f>
        <v>Lightning_IntensityDown = 62,</v>
      </c>
      <c r="L6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電_強度降低",</v>
      </c>
    </row>
    <row r="65" spans="2:12" x14ac:dyDescent="0.25">
      <c r="B65" s="57">
        <f t="shared" si="0"/>
        <v>63</v>
      </c>
      <c r="C65" s="122" t="str">
        <f>DEC2BIN(表格4_711[[#This Row],[DEC]]/2^($A$1-COLUMN()),3)</f>
        <v>001</v>
      </c>
      <c r="D65" s="123">
        <f>IF(ISODD( INT(表格4_711[[#This Row],[DEC]]/(2^($A$1-COLUMN())))),1,0)</f>
        <v>1</v>
      </c>
      <c r="E65" s="123">
        <f>IF(ISODD( INT(表格4_711[[#This Row],[DEC]]/(2^($A$1-COLUMN())))),1,0)</f>
        <v>1</v>
      </c>
      <c r="F65" s="124">
        <f>IF(ISODD( INT(表格4_711[[#This Row],[DEC]]/(2^($A$1-COLUMN())))),1,0)</f>
        <v>1</v>
      </c>
      <c r="G65" s="123">
        <f>IF(ISODD( INT(表格4_711[[#This Row],[DEC]]/(2^($A$1-COLUMN())))),1,0)</f>
        <v>1</v>
      </c>
      <c r="H65" s="123">
        <f>IF(ISODD( INT(表格4_711[[#This Row],[DEC]]/(2^($A$1-COLUMN())))),1,0)</f>
        <v>1</v>
      </c>
      <c r="I65" s="212" t="str">
        <f xml:space="preserve"> IF(bitand(表格4_711[[#This Row],[DEC]],7)&lt;1,"//", VLOOKUP(INT(表格4_711[[#This Row],[DEC]]/8),表格4_7112[],5,FALSE))</f>
        <v>Lightning</v>
      </c>
      <c r="J65" s="147" t="str">
        <f xml:space="preserve"> VLOOKUP(bitand(表格4_711[[#This Row],[DEC]],8-1),表格2[],2,FALSE)</f>
        <v>_IntensityUp</v>
      </c>
      <c r="K65" s="169" t="str">
        <f>CONCATENATE(表格4_711[[#This Row],[反應]],表格4_711[[#This Row],[補正]]," = ",表格4_711[[#This Row],[DEC]],",")</f>
        <v>Lightning_IntensityUp = 63,</v>
      </c>
      <c r="L6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電_強度提昇",</v>
      </c>
    </row>
    <row r="66" spans="2:12" x14ac:dyDescent="0.25">
      <c r="B66" s="99">
        <f t="shared" ref="B66:B97" si="2">ROW()-2</f>
        <v>64</v>
      </c>
      <c r="C66" s="125" t="str">
        <f>DEC2BIN(表格4_711[[#This Row],[DEC]]/2^($A$1-COLUMN()),3)</f>
        <v>010</v>
      </c>
      <c r="D66" s="126">
        <f>IF(ISODD( INT(表格4_711[[#This Row],[DEC]]/(2^($A$1-COLUMN())))),1,0)</f>
        <v>0</v>
      </c>
      <c r="E66" s="126">
        <f>IF(ISODD( INT(表格4_711[[#This Row],[DEC]]/(2^($A$1-COLUMN())))),1,0)</f>
        <v>0</v>
      </c>
      <c r="F66" s="127">
        <f>IF(ISODD( INT(表格4_711[[#This Row],[DEC]]/(2^($A$1-COLUMN())))),1,0)</f>
        <v>0</v>
      </c>
      <c r="G66" s="126">
        <f>IF(ISODD( INT(表格4_711[[#This Row],[DEC]]/(2^($A$1-COLUMN())))),1,0)</f>
        <v>0</v>
      </c>
      <c r="H66" s="126">
        <f>IF(ISODD( INT(表格4_711[[#This Row],[DEC]]/(2^($A$1-COLUMN())))),1,0)</f>
        <v>0</v>
      </c>
      <c r="I66" s="192" t="str">
        <f xml:space="preserve"> IF(bitand(表格4_711[[#This Row],[DEC]],7)&lt;1,"//", VLOOKUP(INT(表格4_711[[#This Row],[DEC]]/8),表格4_7112[],5,FALSE))</f>
        <v>//</v>
      </c>
      <c r="J66" s="145" t="str">
        <f xml:space="preserve"> VLOOKUP(bitand(表格4_711[[#This Row],[DEC]],8-1),表格2[],2,FALSE)</f>
        <v/>
      </c>
      <c r="K66" s="144" t="str">
        <f>CONCATENATE(表格4_711[[#This Row],[反應]],表格4_711[[#This Row],[補正]]," = ",表格4_711[[#This Row],[DEC]],",")</f>
        <v>// = 64,</v>
      </c>
      <c r="L6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67" spans="2:12" x14ac:dyDescent="0.25">
      <c r="B67" s="99">
        <f t="shared" si="2"/>
        <v>65</v>
      </c>
      <c r="C67" s="125" t="str">
        <f>DEC2BIN(表格4_711[[#This Row],[DEC]]/2^($A$1-COLUMN()),3)</f>
        <v>010</v>
      </c>
      <c r="D67" s="126">
        <f>IF(ISODD( INT(表格4_711[[#This Row],[DEC]]/(2^($A$1-COLUMN())))),1,0)</f>
        <v>0</v>
      </c>
      <c r="E67" s="126">
        <f>IF(ISODD( INT(表格4_711[[#This Row],[DEC]]/(2^($A$1-COLUMN())))),1,0)</f>
        <v>0</v>
      </c>
      <c r="F67" s="127">
        <f>IF(ISODD( INT(表格4_711[[#This Row],[DEC]]/(2^($A$1-COLUMN())))),1,0)</f>
        <v>0</v>
      </c>
      <c r="G67" s="126">
        <f>IF(ISODD( INT(表格4_711[[#This Row],[DEC]]/(2^($A$1-COLUMN())))),1,0)</f>
        <v>0</v>
      </c>
      <c r="H67" s="126">
        <f>IF(ISODD( INT(表格4_711[[#This Row],[DEC]]/(2^($A$1-COLUMN())))),1,0)</f>
        <v>1</v>
      </c>
      <c r="I67" s="184" t="str">
        <f xml:space="preserve"> IF(bitand(表格4_711[[#This Row],[DEC]],7)&lt;1,"//", VLOOKUP(INT(表格4_711[[#This Row],[DEC]]/8),表格4_7112[],5,FALSE))</f>
        <v>Dizzy</v>
      </c>
      <c r="J67" s="136" t="str">
        <f xml:space="preserve"> VLOOKUP(bitand(表格4_711[[#This Row],[DEC]],8-1),表格2[],2,FALSE)</f>
        <v/>
      </c>
      <c r="K67" s="136" t="str">
        <f>CONCATENATE(表格4_711[[#This Row],[反應]],表格4_711[[#This Row],[補正]]," = ",表格4_711[[#This Row],[DEC]],",")</f>
        <v>Dizzy = 65,</v>
      </c>
      <c r="L67" s="136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眩",</v>
      </c>
    </row>
    <row r="68" spans="2:12" x14ac:dyDescent="0.25">
      <c r="B68" s="99">
        <f t="shared" si="2"/>
        <v>66</v>
      </c>
      <c r="C68" s="125" t="str">
        <f>DEC2BIN(表格4_711[[#This Row],[DEC]]/2^($A$1-COLUMN()),3)</f>
        <v>010</v>
      </c>
      <c r="D68" s="126">
        <f>IF(ISODD( INT(表格4_711[[#This Row],[DEC]]/(2^($A$1-COLUMN())))),1,0)</f>
        <v>0</v>
      </c>
      <c r="E68" s="126">
        <f>IF(ISODD( INT(表格4_711[[#This Row],[DEC]]/(2^($A$1-COLUMN())))),1,0)</f>
        <v>0</v>
      </c>
      <c r="F68" s="127">
        <f>IF(ISODD( INT(表格4_711[[#This Row],[DEC]]/(2^($A$1-COLUMN())))),1,0)</f>
        <v>0</v>
      </c>
      <c r="G68" s="126">
        <f>IF(ISODD( INT(表格4_711[[#This Row],[DEC]]/(2^($A$1-COLUMN())))),1,0)</f>
        <v>1</v>
      </c>
      <c r="H68" s="126">
        <f>IF(ISODD( INT(表格4_711[[#This Row],[DEC]]/(2^($A$1-COLUMN())))),1,0)</f>
        <v>0</v>
      </c>
      <c r="I68" s="210" t="str">
        <f xml:space="preserve"> IF(bitand(表格4_711[[#This Row],[DEC]],7)&lt;1,"//", VLOOKUP(INT(表格4_711[[#This Row],[DEC]]/8),表格4_7112[],5,FALSE))</f>
        <v>Dizzy</v>
      </c>
      <c r="J68" s="207" t="str">
        <f xml:space="preserve"> VLOOKUP(bitand(表格4_711[[#This Row],[DEC]],8-1),表格2[],2,FALSE)</f>
        <v>_Clear</v>
      </c>
      <c r="K68" s="167" t="str">
        <f>CONCATENATE(表格4_711[[#This Row],[反應]],表格4_711[[#This Row],[補正]]," = ",表格4_711[[#This Row],[DEC]],",")</f>
        <v>Dizzy_Clear = 66,</v>
      </c>
      <c r="L6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眩_解除",</v>
      </c>
    </row>
    <row r="69" spans="2:12" x14ac:dyDescent="0.25">
      <c r="B69" s="99">
        <f t="shared" si="2"/>
        <v>67</v>
      </c>
      <c r="C69" s="125" t="str">
        <f>DEC2BIN(表格4_711[[#This Row],[DEC]]/2^($A$1-COLUMN()),3)</f>
        <v>010</v>
      </c>
      <c r="D69" s="126">
        <f>IF(ISODD( INT(表格4_711[[#This Row],[DEC]]/(2^($A$1-COLUMN())))),1,0)</f>
        <v>0</v>
      </c>
      <c r="E69" s="126">
        <f>IF(ISODD( INT(表格4_711[[#This Row],[DEC]]/(2^($A$1-COLUMN())))),1,0)</f>
        <v>0</v>
      </c>
      <c r="F69" s="127">
        <f>IF(ISODD( INT(表格4_711[[#This Row],[DEC]]/(2^($A$1-COLUMN())))),1,0)</f>
        <v>0</v>
      </c>
      <c r="G69" s="126">
        <f>IF(ISODD( INT(表格4_711[[#This Row],[DEC]]/(2^($A$1-COLUMN())))),1,0)</f>
        <v>1</v>
      </c>
      <c r="H69" s="126">
        <f>IF(ISODD( INT(表格4_711[[#This Row],[DEC]]/(2^($A$1-COLUMN())))),1,0)</f>
        <v>1</v>
      </c>
      <c r="I69" s="211" t="str">
        <f xml:space="preserve"> IF(bitand(表格4_711[[#This Row],[DEC]],7)&lt;1,"//", VLOOKUP(INT(表格4_711[[#This Row],[DEC]]/8),表格4_7112[],5,FALSE))</f>
        <v>Dizzy</v>
      </c>
      <c r="J69" s="208" t="str">
        <f xml:space="preserve"> VLOOKUP(bitand(表格4_711[[#This Row],[DEC]],8-1),表格2[],2,FALSE)</f>
        <v>_Spread</v>
      </c>
      <c r="K69" s="167" t="str">
        <f>CONCATENATE(表格4_711[[#This Row],[反應]],表格4_711[[#This Row],[補正]]," = ",表格4_711[[#This Row],[DEC]],",")</f>
        <v>Dizzy_Spread = 67,</v>
      </c>
      <c r="L6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眩_散播",</v>
      </c>
    </row>
    <row r="70" spans="2:12" x14ac:dyDescent="0.25">
      <c r="B70" s="99">
        <f t="shared" si="2"/>
        <v>68</v>
      </c>
      <c r="C70" s="125" t="str">
        <f>DEC2BIN(表格4_711[[#This Row],[DEC]]/2^($A$1-COLUMN()),3)</f>
        <v>010</v>
      </c>
      <c r="D70" s="126">
        <f>IF(ISODD( INT(表格4_711[[#This Row],[DEC]]/(2^($A$1-COLUMN())))),1,0)</f>
        <v>0</v>
      </c>
      <c r="E70" s="126">
        <f>IF(ISODD( INT(表格4_711[[#This Row],[DEC]]/(2^($A$1-COLUMN())))),1,0)</f>
        <v>0</v>
      </c>
      <c r="F70" s="127">
        <f>IF(ISODD( INT(表格4_711[[#This Row],[DEC]]/(2^($A$1-COLUMN())))),1,0)</f>
        <v>1</v>
      </c>
      <c r="G70" s="126">
        <f>IF(ISODD( INT(表格4_711[[#This Row],[DEC]]/(2^($A$1-COLUMN())))),1,0)</f>
        <v>0</v>
      </c>
      <c r="H70" s="126">
        <f>IF(ISODD( INT(表格4_711[[#This Row],[DEC]]/(2^($A$1-COLUMN())))),1,0)</f>
        <v>0</v>
      </c>
      <c r="I70" s="212" t="str">
        <f xml:space="preserve"> IF(bitand(表格4_711[[#This Row],[DEC]],7)&lt;1,"//", VLOOKUP(INT(表格4_711[[#This Row],[DEC]]/8),表格4_7112[],5,FALSE))</f>
        <v>Dizzy</v>
      </c>
      <c r="J70" s="147" t="str">
        <f xml:space="preserve"> VLOOKUP(bitand(表格4_711[[#This Row],[DEC]],8-1),表格2[],2,FALSE)</f>
        <v>_RangeDown</v>
      </c>
      <c r="K70" s="167" t="str">
        <f>CONCATENATE(表格4_711[[#This Row],[反應]],表格4_711[[#This Row],[補正]]," = ",表格4_711[[#This Row],[DEC]],",")</f>
        <v>Dizzy_RangeDown = 68,</v>
      </c>
      <c r="L7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眩_範圍降低",</v>
      </c>
    </row>
    <row r="71" spans="2:12" x14ac:dyDescent="0.25">
      <c r="B71" s="99">
        <f t="shared" si="2"/>
        <v>69</v>
      </c>
      <c r="C71" s="125" t="str">
        <f>DEC2BIN(表格4_711[[#This Row],[DEC]]/2^($A$1-COLUMN()),3)</f>
        <v>010</v>
      </c>
      <c r="D71" s="126">
        <f>IF(ISODD( INT(表格4_711[[#This Row],[DEC]]/(2^($A$1-COLUMN())))),1,0)</f>
        <v>0</v>
      </c>
      <c r="E71" s="126">
        <f>IF(ISODD( INT(表格4_711[[#This Row],[DEC]]/(2^($A$1-COLUMN())))),1,0)</f>
        <v>0</v>
      </c>
      <c r="F71" s="127">
        <f>IF(ISODD( INT(表格4_711[[#This Row],[DEC]]/(2^($A$1-COLUMN())))),1,0)</f>
        <v>1</v>
      </c>
      <c r="G71" s="126">
        <f>IF(ISODD( INT(表格4_711[[#This Row],[DEC]]/(2^($A$1-COLUMN())))),1,0)</f>
        <v>0</v>
      </c>
      <c r="H71" s="126">
        <f>IF(ISODD( INT(表格4_711[[#This Row],[DEC]]/(2^($A$1-COLUMN())))),1,0)</f>
        <v>1</v>
      </c>
      <c r="I71" s="212" t="str">
        <f xml:space="preserve"> IF(bitand(表格4_711[[#This Row],[DEC]],7)&lt;1,"//", VLOOKUP(INT(表格4_711[[#This Row],[DEC]]/8),表格4_7112[],5,FALSE))</f>
        <v>Dizzy</v>
      </c>
      <c r="J71" s="147" t="str">
        <f xml:space="preserve"> VLOOKUP(bitand(表格4_711[[#This Row],[DEC]],8-1),表格2[],2,FALSE)</f>
        <v>_RangeUP</v>
      </c>
      <c r="K71" s="167" t="str">
        <f>CONCATENATE(表格4_711[[#This Row],[反應]],表格4_711[[#This Row],[補正]]," = ",表格4_711[[#This Row],[DEC]],",")</f>
        <v>Dizzy_RangeUP = 69,</v>
      </c>
      <c r="L7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眩_範圍提昇",</v>
      </c>
    </row>
    <row r="72" spans="2:12" x14ac:dyDescent="0.25">
      <c r="B72" s="99">
        <f t="shared" si="2"/>
        <v>70</v>
      </c>
      <c r="C72" s="125" t="str">
        <f>DEC2BIN(表格4_711[[#This Row],[DEC]]/2^($A$1-COLUMN()),3)</f>
        <v>010</v>
      </c>
      <c r="D72" s="126">
        <f>IF(ISODD( INT(表格4_711[[#This Row],[DEC]]/(2^($A$1-COLUMN())))),1,0)</f>
        <v>0</v>
      </c>
      <c r="E72" s="126">
        <f>IF(ISODD( INT(表格4_711[[#This Row],[DEC]]/(2^($A$1-COLUMN())))),1,0)</f>
        <v>0</v>
      </c>
      <c r="F72" s="127">
        <f>IF(ISODD( INT(表格4_711[[#This Row],[DEC]]/(2^($A$1-COLUMN())))),1,0)</f>
        <v>1</v>
      </c>
      <c r="G72" s="126">
        <f>IF(ISODD( INT(表格4_711[[#This Row],[DEC]]/(2^($A$1-COLUMN())))),1,0)</f>
        <v>1</v>
      </c>
      <c r="H72" s="126">
        <f>IF(ISODD( INT(表格4_711[[#This Row],[DEC]]/(2^($A$1-COLUMN())))),1,0)</f>
        <v>0</v>
      </c>
      <c r="I72" s="212" t="str">
        <f xml:space="preserve"> IF(bitand(表格4_711[[#This Row],[DEC]],7)&lt;1,"//", VLOOKUP(INT(表格4_711[[#This Row],[DEC]]/8),表格4_7112[],5,FALSE))</f>
        <v>Dizzy</v>
      </c>
      <c r="J72" s="147" t="str">
        <f xml:space="preserve"> VLOOKUP(bitand(表格4_711[[#This Row],[DEC]],8-1),表格2[],2,FALSE)</f>
        <v>_IntensityDown</v>
      </c>
      <c r="K72" s="167" t="str">
        <f>CONCATENATE(表格4_711[[#This Row],[反應]],表格4_711[[#This Row],[補正]]," = ",表格4_711[[#This Row],[DEC]],",")</f>
        <v>Dizzy_IntensityDown = 70,</v>
      </c>
      <c r="L7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眩_強度降低",</v>
      </c>
    </row>
    <row r="73" spans="2:12" x14ac:dyDescent="0.25">
      <c r="B73" s="99">
        <f t="shared" si="2"/>
        <v>71</v>
      </c>
      <c r="C73" s="125" t="str">
        <f>DEC2BIN(表格4_711[[#This Row],[DEC]]/2^($A$1-COLUMN()),3)</f>
        <v>010</v>
      </c>
      <c r="D73" s="126">
        <f>IF(ISODD( INT(表格4_711[[#This Row],[DEC]]/(2^($A$1-COLUMN())))),1,0)</f>
        <v>0</v>
      </c>
      <c r="E73" s="126">
        <f>IF(ISODD( INT(表格4_711[[#This Row],[DEC]]/(2^($A$1-COLUMN())))),1,0)</f>
        <v>0</v>
      </c>
      <c r="F73" s="127">
        <f>IF(ISODD( INT(表格4_711[[#This Row],[DEC]]/(2^($A$1-COLUMN())))),1,0)</f>
        <v>1</v>
      </c>
      <c r="G73" s="126">
        <f>IF(ISODD( INT(表格4_711[[#This Row],[DEC]]/(2^($A$1-COLUMN())))),1,0)</f>
        <v>1</v>
      </c>
      <c r="H73" s="126">
        <f>IF(ISODD( INT(表格4_711[[#This Row],[DEC]]/(2^($A$1-COLUMN())))),1,0)</f>
        <v>1</v>
      </c>
      <c r="I73" s="212" t="str">
        <f xml:space="preserve"> IF(bitand(表格4_711[[#This Row],[DEC]],7)&lt;1,"//", VLOOKUP(INT(表格4_711[[#This Row],[DEC]]/8),表格4_7112[],5,FALSE))</f>
        <v>Dizzy</v>
      </c>
      <c r="J73" s="147" t="str">
        <f xml:space="preserve"> VLOOKUP(bitand(表格4_711[[#This Row],[DEC]],8-1),表格2[],2,FALSE)</f>
        <v>_IntensityUp</v>
      </c>
      <c r="K73" s="167" t="str">
        <f>CONCATENATE(表格4_711[[#This Row],[反應]],表格4_711[[#This Row],[補正]]," = ",表格4_711[[#This Row],[DEC]],",")</f>
        <v>Dizzy_IntensityUp = 71,</v>
      </c>
      <c r="L7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眩_強度提昇",</v>
      </c>
    </row>
    <row r="74" spans="2:12" x14ac:dyDescent="0.25">
      <c r="B74" s="99">
        <f t="shared" si="2"/>
        <v>72</v>
      </c>
      <c r="C74" s="125" t="str">
        <f>DEC2BIN(表格4_711[[#This Row],[DEC]]/2^($A$1-COLUMN()),3)</f>
        <v>010</v>
      </c>
      <c r="D74" s="126">
        <f>IF(ISODD( INT(表格4_711[[#This Row],[DEC]]/(2^($A$1-COLUMN())))),1,0)</f>
        <v>0</v>
      </c>
      <c r="E74" s="126">
        <f>IF(ISODD( INT(表格4_711[[#This Row],[DEC]]/(2^($A$1-COLUMN())))),1,0)</f>
        <v>1</v>
      </c>
      <c r="F74" s="127">
        <f>IF(ISODD( INT(表格4_711[[#This Row],[DEC]]/(2^($A$1-COLUMN())))),1,0)</f>
        <v>0</v>
      </c>
      <c r="G74" s="126">
        <f>IF(ISODD( INT(表格4_711[[#This Row],[DEC]]/(2^($A$1-COLUMN())))),1,0)</f>
        <v>0</v>
      </c>
      <c r="H74" s="126">
        <f>IF(ISODD( INT(表格4_711[[#This Row],[DEC]]/(2^($A$1-COLUMN())))),1,0)</f>
        <v>0</v>
      </c>
      <c r="I74" s="192" t="str">
        <f xml:space="preserve"> IF(bitand(表格4_711[[#This Row],[DEC]],7)&lt;1,"//", VLOOKUP(INT(表格4_711[[#This Row],[DEC]]/8),表格4_7112[],5,FALSE))</f>
        <v>//</v>
      </c>
      <c r="J74" s="145" t="str">
        <f xml:space="preserve"> VLOOKUP(bitand(表格4_711[[#This Row],[DEC]],8-1),表格2[],2,FALSE)</f>
        <v/>
      </c>
      <c r="K74" s="144" t="str">
        <f>CONCATENATE(表格4_711[[#This Row],[反應]],表格4_711[[#This Row],[補正]]," = ",表格4_711[[#This Row],[DEC]],",")</f>
        <v>// = 72,</v>
      </c>
      <c r="L7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75" spans="2:12" x14ac:dyDescent="0.25">
      <c r="B75" s="99">
        <f t="shared" si="2"/>
        <v>73</v>
      </c>
      <c r="C75" s="125" t="str">
        <f>DEC2BIN(表格4_711[[#This Row],[DEC]]/2^($A$1-COLUMN()),3)</f>
        <v>010</v>
      </c>
      <c r="D75" s="126">
        <f>IF(ISODD( INT(表格4_711[[#This Row],[DEC]]/(2^($A$1-COLUMN())))),1,0)</f>
        <v>0</v>
      </c>
      <c r="E75" s="126">
        <f>IF(ISODD( INT(表格4_711[[#This Row],[DEC]]/(2^($A$1-COLUMN())))),1,0)</f>
        <v>1</v>
      </c>
      <c r="F75" s="127">
        <f>IF(ISODD( INT(表格4_711[[#This Row],[DEC]]/(2^($A$1-COLUMN())))),1,0)</f>
        <v>0</v>
      </c>
      <c r="G75" s="126">
        <f>IF(ISODD( INT(表格4_711[[#This Row],[DEC]]/(2^($A$1-COLUMN())))),1,0)</f>
        <v>0</v>
      </c>
      <c r="H75" s="126">
        <f>IF(ISODD( INT(表格4_711[[#This Row],[DEC]]/(2^($A$1-COLUMN())))),1,0)</f>
        <v>1</v>
      </c>
      <c r="I75" s="185" t="str">
        <f xml:space="preserve"> IF(bitand(表格4_711[[#This Row],[DEC]],7)&lt;1,"//", VLOOKUP(INT(表格4_711[[#This Row],[DEC]]/8),表格4_7112[],5,FALSE))</f>
        <v>Bleeding</v>
      </c>
      <c r="J75" s="137" t="str">
        <f xml:space="preserve"> VLOOKUP(bitand(表格4_711[[#This Row],[DEC]],8-1),表格2[],2,FALSE)</f>
        <v/>
      </c>
      <c r="K75" s="137" t="str">
        <f>CONCATENATE(表格4_711[[#This Row],[反應]],表格4_711[[#This Row],[補正]]," = ",表格4_711[[#This Row],[DEC]],",")</f>
        <v>Bleeding = 73,</v>
      </c>
      <c r="L75" s="13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血",</v>
      </c>
    </row>
    <row r="76" spans="2:12" x14ac:dyDescent="0.25">
      <c r="B76" s="99">
        <f t="shared" si="2"/>
        <v>74</v>
      </c>
      <c r="C76" s="125" t="str">
        <f>DEC2BIN(表格4_711[[#This Row],[DEC]]/2^($A$1-COLUMN()),3)</f>
        <v>010</v>
      </c>
      <c r="D76" s="126">
        <f>IF(ISODD( INT(表格4_711[[#This Row],[DEC]]/(2^($A$1-COLUMN())))),1,0)</f>
        <v>0</v>
      </c>
      <c r="E76" s="126">
        <f>IF(ISODD( INT(表格4_711[[#This Row],[DEC]]/(2^($A$1-COLUMN())))),1,0)</f>
        <v>1</v>
      </c>
      <c r="F76" s="127">
        <f>IF(ISODD( INT(表格4_711[[#This Row],[DEC]]/(2^($A$1-COLUMN())))),1,0)</f>
        <v>0</v>
      </c>
      <c r="G76" s="126">
        <f>IF(ISODD( INT(表格4_711[[#This Row],[DEC]]/(2^($A$1-COLUMN())))),1,0)</f>
        <v>1</v>
      </c>
      <c r="H76" s="126">
        <f>IF(ISODD( INT(表格4_711[[#This Row],[DEC]]/(2^($A$1-COLUMN())))),1,0)</f>
        <v>0</v>
      </c>
      <c r="I76" s="210" t="str">
        <f xml:space="preserve"> IF(bitand(表格4_711[[#This Row],[DEC]],7)&lt;1,"//", VLOOKUP(INT(表格4_711[[#This Row],[DEC]]/8),表格4_7112[],5,FALSE))</f>
        <v>Bleeding</v>
      </c>
      <c r="J76" s="207" t="str">
        <f xml:space="preserve"> VLOOKUP(bitand(表格4_711[[#This Row],[DEC]],8-1),表格2[],2,FALSE)</f>
        <v>_Clear</v>
      </c>
      <c r="K76" s="167" t="str">
        <f>CONCATENATE(表格4_711[[#This Row],[反應]],表格4_711[[#This Row],[補正]]," = ",表格4_711[[#This Row],[DEC]],",")</f>
        <v>Bleeding_Clear = 74,</v>
      </c>
      <c r="L7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血_解除",</v>
      </c>
    </row>
    <row r="77" spans="2:12" x14ac:dyDescent="0.25">
      <c r="B77" s="99">
        <f t="shared" si="2"/>
        <v>75</v>
      </c>
      <c r="C77" s="125" t="str">
        <f>DEC2BIN(表格4_711[[#This Row],[DEC]]/2^($A$1-COLUMN()),3)</f>
        <v>010</v>
      </c>
      <c r="D77" s="126">
        <f>IF(ISODD( INT(表格4_711[[#This Row],[DEC]]/(2^($A$1-COLUMN())))),1,0)</f>
        <v>0</v>
      </c>
      <c r="E77" s="126">
        <f>IF(ISODD( INT(表格4_711[[#This Row],[DEC]]/(2^($A$1-COLUMN())))),1,0)</f>
        <v>1</v>
      </c>
      <c r="F77" s="127">
        <f>IF(ISODD( INT(表格4_711[[#This Row],[DEC]]/(2^($A$1-COLUMN())))),1,0)</f>
        <v>0</v>
      </c>
      <c r="G77" s="126">
        <f>IF(ISODD( INT(表格4_711[[#This Row],[DEC]]/(2^($A$1-COLUMN())))),1,0)</f>
        <v>1</v>
      </c>
      <c r="H77" s="126">
        <f>IF(ISODD( INT(表格4_711[[#This Row],[DEC]]/(2^($A$1-COLUMN())))),1,0)</f>
        <v>1</v>
      </c>
      <c r="I77" s="211" t="str">
        <f xml:space="preserve"> IF(bitand(表格4_711[[#This Row],[DEC]],7)&lt;1,"//", VLOOKUP(INT(表格4_711[[#This Row],[DEC]]/8),表格4_7112[],5,FALSE))</f>
        <v>Bleeding</v>
      </c>
      <c r="J77" s="208" t="str">
        <f xml:space="preserve"> VLOOKUP(bitand(表格4_711[[#This Row],[DEC]],8-1),表格2[],2,FALSE)</f>
        <v>_Spread</v>
      </c>
      <c r="K77" s="167" t="str">
        <f>CONCATENATE(表格4_711[[#This Row],[反應]],表格4_711[[#This Row],[補正]]," = ",表格4_711[[#This Row],[DEC]],",")</f>
        <v>Bleeding_Spread = 75,</v>
      </c>
      <c r="L7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血_散播",</v>
      </c>
    </row>
    <row r="78" spans="2:12" x14ac:dyDescent="0.25">
      <c r="B78" s="99">
        <f t="shared" si="2"/>
        <v>76</v>
      </c>
      <c r="C78" s="125" t="str">
        <f>DEC2BIN(表格4_711[[#This Row],[DEC]]/2^($A$1-COLUMN()),3)</f>
        <v>010</v>
      </c>
      <c r="D78" s="126">
        <f>IF(ISODD( INT(表格4_711[[#This Row],[DEC]]/(2^($A$1-COLUMN())))),1,0)</f>
        <v>0</v>
      </c>
      <c r="E78" s="126">
        <f>IF(ISODD( INT(表格4_711[[#This Row],[DEC]]/(2^($A$1-COLUMN())))),1,0)</f>
        <v>1</v>
      </c>
      <c r="F78" s="127">
        <f>IF(ISODD( INT(表格4_711[[#This Row],[DEC]]/(2^($A$1-COLUMN())))),1,0)</f>
        <v>1</v>
      </c>
      <c r="G78" s="126">
        <f>IF(ISODD( INT(表格4_711[[#This Row],[DEC]]/(2^($A$1-COLUMN())))),1,0)</f>
        <v>0</v>
      </c>
      <c r="H78" s="126">
        <f>IF(ISODD( INT(表格4_711[[#This Row],[DEC]]/(2^($A$1-COLUMN())))),1,0)</f>
        <v>0</v>
      </c>
      <c r="I78" s="212" t="str">
        <f xml:space="preserve"> IF(bitand(表格4_711[[#This Row],[DEC]],7)&lt;1,"//", VLOOKUP(INT(表格4_711[[#This Row],[DEC]]/8),表格4_7112[],5,FALSE))</f>
        <v>Bleeding</v>
      </c>
      <c r="J78" s="147" t="str">
        <f xml:space="preserve"> VLOOKUP(bitand(表格4_711[[#This Row],[DEC]],8-1),表格2[],2,FALSE)</f>
        <v>_RangeDown</v>
      </c>
      <c r="K78" s="167" t="str">
        <f>CONCATENATE(表格4_711[[#This Row],[反應]],表格4_711[[#This Row],[補正]]," = ",表格4_711[[#This Row],[DEC]],",")</f>
        <v>Bleeding_RangeDown = 76,</v>
      </c>
      <c r="L7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血_範圍降低",</v>
      </c>
    </row>
    <row r="79" spans="2:12" x14ac:dyDescent="0.25">
      <c r="B79" s="99">
        <f t="shared" si="2"/>
        <v>77</v>
      </c>
      <c r="C79" s="125" t="str">
        <f>DEC2BIN(表格4_711[[#This Row],[DEC]]/2^($A$1-COLUMN()),3)</f>
        <v>010</v>
      </c>
      <c r="D79" s="126">
        <f>IF(ISODD( INT(表格4_711[[#This Row],[DEC]]/(2^($A$1-COLUMN())))),1,0)</f>
        <v>0</v>
      </c>
      <c r="E79" s="126">
        <f>IF(ISODD( INT(表格4_711[[#This Row],[DEC]]/(2^($A$1-COLUMN())))),1,0)</f>
        <v>1</v>
      </c>
      <c r="F79" s="127">
        <f>IF(ISODD( INT(表格4_711[[#This Row],[DEC]]/(2^($A$1-COLUMN())))),1,0)</f>
        <v>1</v>
      </c>
      <c r="G79" s="126">
        <f>IF(ISODD( INT(表格4_711[[#This Row],[DEC]]/(2^($A$1-COLUMN())))),1,0)</f>
        <v>0</v>
      </c>
      <c r="H79" s="126">
        <f>IF(ISODD( INT(表格4_711[[#This Row],[DEC]]/(2^($A$1-COLUMN())))),1,0)</f>
        <v>1</v>
      </c>
      <c r="I79" s="212" t="str">
        <f xml:space="preserve"> IF(bitand(表格4_711[[#This Row],[DEC]],7)&lt;1,"//", VLOOKUP(INT(表格4_711[[#This Row],[DEC]]/8),表格4_7112[],5,FALSE))</f>
        <v>Bleeding</v>
      </c>
      <c r="J79" s="147" t="str">
        <f xml:space="preserve"> VLOOKUP(bitand(表格4_711[[#This Row],[DEC]],8-1),表格2[],2,FALSE)</f>
        <v>_RangeUP</v>
      </c>
      <c r="K79" s="167" t="str">
        <f>CONCATENATE(表格4_711[[#This Row],[反應]],表格4_711[[#This Row],[補正]]," = ",表格4_711[[#This Row],[DEC]],",")</f>
        <v>Bleeding_RangeUP = 77,</v>
      </c>
      <c r="L7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血_範圍提昇",</v>
      </c>
    </row>
    <row r="80" spans="2:12" x14ac:dyDescent="0.25">
      <c r="B80" s="99">
        <f t="shared" si="2"/>
        <v>78</v>
      </c>
      <c r="C80" s="125" t="str">
        <f>DEC2BIN(表格4_711[[#This Row],[DEC]]/2^($A$1-COLUMN()),3)</f>
        <v>010</v>
      </c>
      <c r="D80" s="126">
        <f>IF(ISODD( INT(表格4_711[[#This Row],[DEC]]/(2^($A$1-COLUMN())))),1,0)</f>
        <v>0</v>
      </c>
      <c r="E80" s="126">
        <f>IF(ISODD( INT(表格4_711[[#This Row],[DEC]]/(2^($A$1-COLUMN())))),1,0)</f>
        <v>1</v>
      </c>
      <c r="F80" s="127">
        <f>IF(ISODD( INT(表格4_711[[#This Row],[DEC]]/(2^($A$1-COLUMN())))),1,0)</f>
        <v>1</v>
      </c>
      <c r="G80" s="126">
        <f>IF(ISODD( INT(表格4_711[[#This Row],[DEC]]/(2^($A$1-COLUMN())))),1,0)</f>
        <v>1</v>
      </c>
      <c r="H80" s="126">
        <f>IF(ISODD( INT(表格4_711[[#This Row],[DEC]]/(2^($A$1-COLUMN())))),1,0)</f>
        <v>0</v>
      </c>
      <c r="I80" s="212" t="str">
        <f xml:space="preserve"> IF(bitand(表格4_711[[#This Row],[DEC]],7)&lt;1,"//", VLOOKUP(INT(表格4_711[[#This Row],[DEC]]/8),表格4_7112[],5,FALSE))</f>
        <v>Bleeding</v>
      </c>
      <c r="J80" s="147" t="str">
        <f xml:space="preserve"> VLOOKUP(bitand(表格4_711[[#This Row],[DEC]],8-1),表格2[],2,FALSE)</f>
        <v>_IntensityDown</v>
      </c>
      <c r="K80" s="167" t="str">
        <f>CONCATENATE(表格4_711[[#This Row],[反應]],表格4_711[[#This Row],[補正]]," = ",表格4_711[[#This Row],[DEC]],",")</f>
        <v>Bleeding_IntensityDown = 78,</v>
      </c>
      <c r="L8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血_強度降低",</v>
      </c>
    </row>
    <row r="81" spans="2:12" x14ac:dyDescent="0.25">
      <c r="B81" s="99">
        <f t="shared" si="2"/>
        <v>79</v>
      </c>
      <c r="C81" s="125" t="str">
        <f>DEC2BIN(表格4_711[[#This Row],[DEC]]/2^($A$1-COLUMN()),3)</f>
        <v>010</v>
      </c>
      <c r="D81" s="126">
        <f>IF(ISODD( INT(表格4_711[[#This Row],[DEC]]/(2^($A$1-COLUMN())))),1,0)</f>
        <v>0</v>
      </c>
      <c r="E81" s="126">
        <f>IF(ISODD( INT(表格4_711[[#This Row],[DEC]]/(2^($A$1-COLUMN())))),1,0)</f>
        <v>1</v>
      </c>
      <c r="F81" s="127">
        <f>IF(ISODD( INT(表格4_711[[#This Row],[DEC]]/(2^($A$1-COLUMN())))),1,0)</f>
        <v>1</v>
      </c>
      <c r="G81" s="126">
        <f>IF(ISODD( INT(表格4_711[[#This Row],[DEC]]/(2^($A$1-COLUMN())))),1,0)</f>
        <v>1</v>
      </c>
      <c r="H81" s="126">
        <f>IF(ISODD( INT(表格4_711[[#This Row],[DEC]]/(2^($A$1-COLUMN())))),1,0)</f>
        <v>1</v>
      </c>
      <c r="I81" s="212" t="str">
        <f xml:space="preserve"> IF(bitand(表格4_711[[#This Row],[DEC]],7)&lt;1,"//", VLOOKUP(INT(表格4_711[[#This Row],[DEC]]/8),表格4_7112[],5,FALSE))</f>
        <v>Bleeding</v>
      </c>
      <c r="J81" s="147" t="str">
        <f xml:space="preserve"> VLOOKUP(bitand(表格4_711[[#This Row],[DEC]],8-1),表格2[],2,FALSE)</f>
        <v>_IntensityUp</v>
      </c>
      <c r="K81" s="167" t="str">
        <f>CONCATENATE(表格4_711[[#This Row],[反應]],表格4_711[[#This Row],[補正]]," = ",表格4_711[[#This Row],[DEC]],",")</f>
        <v>Bleeding_IntensityUp = 79,</v>
      </c>
      <c r="L8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血_強度提昇",</v>
      </c>
    </row>
    <row r="82" spans="2:12" x14ac:dyDescent="0.25">
      <c r="B82" s="99">
        <f t="shared" si="2"/>
        <v>80</v>
      </c>
      <c r="C82" s="125" t="str">
        <f>DEC2BIN(表格4_711[[#This Row],[DEC]]/2^($A$1-COLUMN()),3)</f>
        <v>010</v>
      </c>
      <c r="D82" s="126">
        <f>IF(ISODD( INT(表格4_711[[#This Row],[DEC]]/(2^($A$1-COLUMN())))),1,0)</f>
        <v>1</v>
      </c>
      <c r="E82" s="126">
        <f>IF(ISODD( INT(表格4_711[[#This Row],[DEC]]/(2^($A$1-COLUMN())))),1,0)</f>
        <v>0</v>
      </c>
      <c r="F82" s="127">
        <f>IF(ISODD( INT(表格4_711[[#This Row],[DEC]]/(2^($A$1-COLUMN())))),1,0)</f>
        <v>0</v>
      </c>
      <c r="G82" s="126">
        <f>IF(ISODD( INT(表格4_711[[#This Row],[DEC]]/(2^($A$1-COLUMN())))),1,0)</f>
        <v>0</v>
      </c>
      <c r="H82" s="126">
        <f>IF(ISODD( INT(表格4_711[[#This Row],[DEC]]/(2^($A$1-COLUMN())))),1,0)</f>
        <v>0</v>
      </c>
      <c r="I82" s="192" t="str">
        <f xml:space="preserve"> IF(bitand(表格4_711[[#This Row],[DEC]],7)&lt;1,"//", VLOOKUP(INT(表格4_711[[#This Row],[DEC]]/8),表格4_7112[],5,FALSE))</f>
        <v>//</v>
      </c>
      <c r="J82" s="145" t="str">
        <f xml:space="preserve"> VLOOKUP(bitand(表格4_711[[#This Row],[DEC]],8-1),表格2[],2,FALSE)</f>
        <v/>
      </c>
      <c r="K82" s="144" t="str">
        <f>CONCATENATE(表格4_711[[#This Row],[反應]],表格4_711[[#This Row],[補正]]," = ",表格4_711[[#This Row],[DEC]],",")</f>
        <v>// = 80,</v>
      </c>
      <c r="L8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83" spans="2:12" x14ac:dyDescent="0.25">
      <c r="B83" s="99">
        <f t="shared" si="2"/>
        <v>81</v>
      </c>
      <c r="C83" s="125" t="str">
        <f>DEC2BIN(表格4_711[[#This Row],[DEC]]/2^($A$1-COLUMN()),3)</f>
        <v>010</v>
      </c>
      <c r="D83" s="126">
        <f>IF(ISODD( INT(表格4_711[[#This Row],[DEC]]/(2^($A$1-COLUMN())))),1,0)</f>
        <v>1</v>
      </c>
      <c r="E83" s="126">
        <f>IF(ISODD( INT(表格4_711[[#This Row],[DEC]]/(2^($A$1-COLUMN())))),1,0)</f>
        <v>0</v>
      </c>
      <c r="F83" s="127">
        <f>IF(ISODD( INT(表格4_711[[#This Row],[DEC]]/(2^($A$1-COLUMN())))),1,0)</f>
        <v>0</v>
      </c>
      <c r="G83" s="126">
        <f>IF(ISODD( INT(表格4_711[[#This Row],[DEC]]/(2^($A$1-COLUMN())))),1,0)</f>
        <v>0</v>
      </c>
      <c r="H83" s="126">
        <f>IF(ISODD( INT(表格4_711[[#This Row],[DEC]]/(2^($A$1-COLUMN())))),1,0)</f>
        <v>1</v>
      </c>
      <c r="I83" s="186" t="str">
        <f xml:space="preserve"> IF(bitand(表格4_711[[#This Row],[DEC]],7)&lt;1,"//", VLOOKUP(INT(表格4_711[[#This Row],[DEC]]/8),表格4_7112[],5,FALSE))</f>
        <v>WallDeflect</v>
      </c>
      <c r="J83" s="138" t="str">
        <f xml:space="preserve"> VLOOKUP(bitand(表格4_711[[#This Row],[DEC]],8-1),表格2[],2,FALSE)</f>
        <v/>
      </c>
      <c r="K83" s="138" t="str">
        <f>CONCATENATE(表格4_711[[#This Row],[反應]],表格4_711[[#This Row],[補正]]," = ",表格4_711[[#This Row],[DEC]],",")</f>
        <v>WallDeflect = 81,</v>
      </c>
      <c r="L83" s="138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彈",</v>
      </c>
    </row>
    <row r="84" spans="2:12" x14ac:dyDescent="0.25">
      <c r="B84" s="99">
        <f t="shared" si="2"/>
        <v>82</v>
      </c>
      <c r="C84" s="125" t="str">
        <f>DEC2BIN(表格4_711[[#This Row],[DEC]]/2^($A$1-COLUMN()),3)</f>
        <v>010</v>
      </c>
      <c r="D84" s="126">
        <f>IF(ISODD( INT(表格4_711[[#This Row],[DEC]]/(2^($A$1-COLUMN())))),1,0)</f>
        <v>1</v>
      </c>
      <c r="E84" s="126">
        <f>IF(ISODD( INT(表格4_711[[#This Row],[DEC]]/(2^($A$1-COLUMN())))),1,0)</f>
        <v>0</v>
      </c>
      <c r="F84" s="127">
        <f>IF(ISODD( INT(表格4_711[[#This Row],[DEC]]/(2^($A$1-COLUMN())))),1,0)</f>
        <v>0</v>
      </c>
      <c r="G84" s="126">
        <f>IF(ISODD( INT(表格4_711[[#This Row],[DEC]]/(2^($A$1-COLUMN())))),1,0)</f>
        <v>1</v>
      </c>
      <c r="H84" s="126">
        <f>IF(ISODD( INT(表格4_711[[#This Row],[DEC]]/(2^($A$1-COLUMN())))),1,0)</f>
        <v>0</v>
      </c>
      <c r="I84" s="210" t="str">
        <f xml:space="preserve"> IF(bitand(表格4_711[[#This Row],[DEC]],7)&lt;1,"//", VLOOKUP(INT(表格4_711[[#This Row],[DEC]]/8),表格4_7112[],5,FALSE))</f>
        <v>WallDeflect</v>
      </c>
      <c r="J84" s="207" t="str">
        <f xml:space="preserve"> VLOOKUP(bitand(表格4_711[[#This Row],[DEC]],8-1),表格2[],2,FALSE)</f>
        <v>_Clear</v>
      </c>
      <c r="K84" s="167" t="str">
        <f>CONCATENATE(表格4_711[[#This Row],[反應]],表格4_711[[#This Row],[補正]]," = ",表格4_711[[#This Row],[DEC]],",")</f>
        <v>WallDeflect_Clear = 82,</v>
      </c>
      <c r="L8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彈_解除",</v>
      </c>
    </row>
    <row r="85" spans="2:12" x14ac:dyDescent="0.25">
      <c r="B85" s="99">
        <f t="shared" si="2"/>
        <v>83</v>
      </c>
      <c r="C85" s="125" t="str">
        <f>DEC2BIN(表格4_711[[#This Row],[DEC]]/2^($A$1-COLUMN()),3)</f>
        <v>010</v>
      </c>
      <c r="D85" s="126">
        <f>IF(ISODD( INT(表格4_711[[#This Row],[DEC]]/(2^($A$1-COLUMN())))),1,0)</f>
        <v>1</v>
      </c>
      <c r="E85" s="126">
        <f>IF(ISODD( INT(表格4_711[[#This Row],[DEC]]/(2^($A$1-COLUMN())))),1,0)</f>
        <v>0</v>
      </c>
      <c r="F85" s="127">
        <f>IF(ISODD( INT(表格4_711[[#This Row],[DEC]]/(2^($A$1-COLUMN())))),1,0)</f>
        <v>0</v>
      </c>
      <c r="G85" s="126">
        <f>IF(ISODD( INT(表格4_711[[#This Row],[DEC]]/(2^($A$1-COLUMN())))),1,0)</f>
        <v>1</v>
      </c>
      <c r="H85" s="126">
        <f>IF(ISODD( INT(表格4_711[[#This Row],[DEC]]/(2^($A$1-COLUMN())))),1,0)</f>
        <v>1</v>
      </c>
      <c r="I85" s="214" t="str">
        <f xml:space="preserve"> IF(bitand(表格4_711[[#This Row],[DEC]],7)&lt;1,"//", VLOOKUP(INT(表格4_711[[#This Row],[DEC]]/8),表格4_7112[],5,FALSE))</f>
        <v>WallDeflect</v>
      </c>
      <c r="J85" s="208" t="str">
        <f xml:space="preserve"> VLOOKUP(bitand(表格4_711[[#This Row],[DEC]],8-1),表格2[],2,FALSE)</f>
        <v>_Spread</v>
      </c>
      <c r="K85" s="167" t="str">
        <f>CONCATENATE(表格4_711[[#This Row],[反應]],表格4_711[[#This Row],[補正]]," = ",表格4_711[[#This Row],[DEC]],",")</f>
        <v>WallDeflect_Spread = 83,</v>
      </c>
      <c r="L8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彈_散播",</v>
      </c>
    </row>
    <row r="86" spans="2:12" x14ac:dyDescent="0.25">
      <c r="B86" s="99">
        <f t="shared" si="2"/>
        <v>84</v>
      </c>
      <c r="C86" s="125" t="str">
        <f>DEC2BIN(表格4_711[[#This Row],[DEC]]/2^($A$1-COLUMN()),3)</f>
        <v>010</v>
      </c>
      <c r="D86" s="126">
        <f>IF(ISODD( INT(表格4_711[[#This Row],[DEC]]/(2^($A$1-COLUMN())))),1,0)</f>
        <v>1</v>
      </c>
      <c r="E86" s="126">
        <f>IF(ISODD( INT(表格4_711[[#This Row],[DEC]]/(2^($A$1-COLUMN())))),1,0)</f>
        <v>0</v>
      </c>
      <c r="F86" s="127">
        <f>IF(ISODD( INT(表格4_711[[#This Row],[DEC]]/(2^($A$1-COLUMN())))),1,0)</f>
        <v>1</v>
      </c>
      <c r="G86" s="126">
        <f>IF(ISODD( INT(表格4_711[[#This Row],[DEC]]/(2^($A$1-COLUMN())))),1,0)</f>
        <v>0</v>
      </c>
      <c r="H86" s="126">
        <f>IF(ISODD( INT(表格4_711[[#This Row],[DEC]]/(2^($A$1-COLUMN())))),1,0)</f>
        <v>0</v>
      </c>
      <c r="I86" s="212" t="str">
        <f xml:space="preserve"> IF(bitand(表格4_711[[#This Row],[DEC]],7)&lt;1,"//", VLOOKUP(INT(表格4_711[[#This Row],[DEC]]/8),表格4_7112[],5,FALSE))</f>
        <v>WallDeflect</v>
      </c>
      <c r="J86" s="147" t="str">
        <f xml:space="preserve"> VLOOKUP(bitand(表格4_711[[#This Row],[DEC]],8-1),表格2[],2,FALSE)</f>
        <v>_RangeDown</v>
      </c>
      <c r="K86" s="167" t="str">
        <f>CONCATENATE(表格4_711[[#This Row],[反應]],表格4_711[[#This Row],[補正]]," = ",表格4_711[[#This Row],[DEC]],",")</f>
        <v>WallDeflect_RangeDown = 84,</v>
      </c>
      <c r="L8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彈_範圍降低",</v>
      </c>
    </row>
    <row r="87" spans="2:12" x14ac:dyDescent="0.25">
      <c r="B87" s="99">
        <f t="shared" si="2"/>
        <v>85</v>
      </c>
      <c r="C87" s="125" t="str">
        <f>DEC2BIN(表格4_711[[#This Row],[DEC]]/2^($A$1-COLUMN()),3)</f>
        <v>010</v>
      </c>
      <c r="D87" s="126">
        <f>IF(ISODD( INT(表格4_711[[#This Row],[DEC]]/(2^($A$1-COLUMN())))),1,0)</f>
        <v>1</v>
      </c>
      <c r="E87" s="126">
        <f>IF(ISODD( INT(表格4_711[[#This Row],[DEC]]/(2^($A$1-COLUMN())))),1,0)</f>
        <v>0</v>
      </c>
      <c r="F87" s="127">
        <f>IF(ISODD( INT(表格4_711[[#This Row],[DEC]]/(2^($A$1-COLUMN())))),1,0)</f>
        <v>1</v>
      </c>
      <c r="G87" s="126">
        <f>IF(ISODD( INT(表格4_711[[#This Row],[DEC]]/(2^($A$1-COLUMN())))),1,0)</f>
        <v>0</v>
      </c>
      <c r="H87" s="126">
        <f>IF(ISODD( INT(表格4_711[[#This Row],[DEC]]/(2^($A$1-COLUMN())))),1,0)</f>
        <v>1</v>
      </c>
      <c r="I87" s="212" t="str">
        <f xml:space="preserve"> IF(bitand(表格4_711[[#This Row],[DEC]],7)&lt;1,"//", VLOOKUP(INT(表格4_711[[#This Row],[DEC]]/8),表格4_7112[],5,FALSE))</f>
        <v>WallDeflect</v>
      </c>
      <c r="J87" s="147" t="str">
        <f xml:space="preserve"> VLOOKUP(bitand(表格4_711[[#This Row],[DEC]],8-1),表格2[],2,FALSE)</f>
        <v>_RangeUP</v>
      </c>
      <c r="K87" s="167" t="str">
        <f>CONCATENATE(表格4_711[[#This Row],[反應]],表格4_711[[#This Row],[補正]]," = ",表格4_711[[#This Row],[DEC]],",")</f>
        <v>WallDeflect_RangeUP = 85,</v>
      </c>
      <c r="L8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彈_範圍提昇",</v>
      </c>
    </row>
    <row r="88" spans="2:12" x14ac:dyDescent="0.25">
      <c r="B88" s="99">
        <f t="shared" si="2"/>
        <v>86</v>
      </c>
      <c r="C88" s="125" t="str">
        <f>DEC2BIN(表格4_711[[#This Row],[DEC]]/2^($A$1-COLUMN()),3)</f>
        <v>010</v>
      </c>
      <c r="D88" s="126">
        <f>IF(ISODD( INT(表格4_711[[#This Row],[DEC]]/(2^($A$1-COLUMN())))),1,0)</f>
        <v>1</v>
      </c>
      <c r="E88" s="126">
        <f>IF(ISODD( INT(表格4_711[[#This Row],[DEC]]/(2^($A$1-COLUMN())))),1,0)</f>
        <v>0</v>
      </c>
      <c r="F88" s="127">
        <f>IF(ISODD( INT(表格4_711[[#This Row],[DEC]]/(2^($A$1-COLUMN())))),1,0)</f>
        <v>1</v>
      </c>
      <c r="G88" s="126">
        <f>IF(ISODD( INT(表格4_711[[#This Row],[DEC]]/(2^($A$1-COLUMN())))),1,0)</f>
        <v>1</v>
      </c>
      <c r="H88" s="126">
        <f>IF(ISODD( INT(表格4_711[[#This Row],[DEC]]/(2^($A$1-COLUMN())))),1,0)</f>
        <v>0</v>
      </c>
      <c r="I88" s="212" t="str">
        <f xml:space="preserve"> IF(bitand(表格4_711[[#This Row],[DEC]],7)&lt;1,"//", VLOOKUP(INT(表格4_711[[#This Row],[DEC]]/8),表格4_7112[],5,FALSE))</f>
        <v>WallDeflect</v>
      </c>
      <c r="J88" s="147" t="str">
        <f xml:space="preserve"> VLOOKUP(bitand(表格4_711[[#This Row],[DEC]],8-1),表格2[],2,FALSE)</f>
        <v>_IntensityDown</v>
      </c>
      <c r="K88" s="167" t="str">
        <f>CONCATENATE(表格4_711[[#This Row],[反應]],表格4_711[[#This Row],[補正]]," = ",表格4_711[[#This Row],[DEC]],",")</f>
        <v>WallDeflect_IntensityDown = 86,</v>
      </c>
      <c r="L8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彈_強度降低",</v>
      </c>
    </row>
    <row r="89" spans="2:12" x14ac:dyDescent="0.25">
      <c r="B89" s="99">
        <f t="shared" si="2"/>
        <v>87</v>
      </c>
      <c r="C89" s="125" t="str">
        <f>DEC2BIN(表格4_711[[#This Row],[DEC]]/2^($A$1-COLUMN()),3)</f>
        <v>010</v>
      </c>
      <c r="D89" s="126">
        <f>IF(ISODD( INT(表格4_711[[#This Row],[DEC]]/(2^($A$1-COLUMN())))),1,0)</f>
        <v>1</v>
      </c>
      <c r="E89" s="126">
        <f>IF(ISODD( INT(表格4_711[[#This Row],[DEC]]/(2^($A$1-COLUMN())))),1,0)</f>
        <v>0</v>
      </c>
      <c r="F89" s="127">
        <f>IF(ISODD( INT(表格4_711[[#This Row],[DEC]]/(2^($A$1-COLUMN())))),1,0)</f>
        <v>1</v>
      </c>
      <c r="G89" s="126">
        <f>IF(ISODD( INT(表格4_711[[#This Row],[DEC]]/(2^($A$1-COLUMN())))),1,0)</f>
        <v>1</v>
      </c>
      <c r="H89" s="126">
        <f>IF(ISODD( INT(表格4_711[[#This Row],[DEC]]/(2^($A$1-COLUMN())))),1,0)</f>
        <v>1</v>
      </c>
      <c r="I89" s="212" t="str">
        <f xml:space="preserve"> IF(bitand(表格4_711[[#This Row],[DEC]],7)&lt;1,"//", VLOOKUP(INT(表格4_711[[#This Row],[DEC]]/8),表格4_7112[],5,FALSE))</f>
        <v>WallDeflect</v>
      </c>
      <c r="J89" s="147" t="str">
        <f xml:space="preserve"> VLOOKUP(bitand(表格4_711[[#This Row],[DEC]],8-1),表格2[],2,FALSE)</f>
        <v>_IntensityUp</v>
      </c>
      <c r="K89" s="167" t="str">
        <f>CONCATENATE(表格4_711[[#This Row],[反應]],表格4_711[[#This Row],[補正]]," = ",表格4_711[[#This Row],[DEC]],",")</f>
        <v>WallDeflect_IntensityUp = 87,</v>
      </c>
      <c r="L8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彈_強度提昇",</v>
      </c>
    </row>
    <row r="90" spans="2:12" x14ac:dyDescent="0.25">
      <c r="B90" s="99">
        <f t="shared" si="2"/>
        <v>88</v>
      </c>
      <c r="C90" s="125" t="str">
        <f>DEC2BIN(表格4_711[[#This Row],[DEC]]/2^($A$1-COLUMN()),3)</f>
        <v>010</v>
      </c>
      <c r="D90" s="126">
        <f>IF(ISODD( INT(表格4_711[[#This Row],[DEC]]/(2^($A$1-COLUMN())))),1,0)</f>
        <v>1</v>
      </c>
      <c r="E90" s="126">
        <f>IF(ISODD( INT(表格4_711[[#This Row],[DEC]]/(2^($A$1-COLUMN())))),1,0)</f>
        <v>1</v>
      </c>
      <c r="F90" s="127">
        <f>IF(ISODD( INT(表格4_711[[#This Row],[DEC]]/(2^($A$1-COLUMN())))),1,0)</f>
        <v>0</v>
      </c>
      <c r="G90" s="126">
        <f>IF(ISODD( INT(表格4_711[[#This Row],[DEC]]/(2^($A$1-COLUMN())))),1,0)</f>
        <v>0</v>
      </c>
      <c r="H90" s="126">
        <f>IF(ISODD( INT(表格4_711[[#This Row],[DEC]]/(2^($A$1-COLUMN())))),1,0)</f>
        <v>0</v>
      </c>
      <c r="I90" s="192" t="str">
        <f xml:space="preserve"> IF(bitand(表格4_711[[#This Row],[DEC]],7)&lt;1,"//", VLOOKUP(INT(表格4_711[[#This Row],[DEC]]/8),表格4_7112[],5,FALSE))</f>
        <v>//</v>
      </c>
      <c r="J90" s="145" t="str">
        <f xml:space="preserve"> VLOOKUP(bitand(表格4_711[[#This Row],[DEC]],8-1),表格2[],2,FALSE)</f>
        <v/>
      </c>
      <c r="K90" s="144" t="str">
        <f>CONCATENATE(表格4_711[[#This Row],[反應]],表格4_711[[#This Row],[補正]]," = ",表格4_711[[#This Row],[DEC]],",")</f>
        <v>// = 88,</v>
      </c>
      <c r="L9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91" spans="2:12" x14ac:dyDescent="0.25">
      <c r="B91" s="99">
        <f t="shared" si="2"/>
        <v>89</v>
      </c>
      <c r="C91" s="125" t="str">
        <f>DEC2BIN(表格4_711[[#This Row],[DEC]]/2^($A$1-COLUMN()),3)</f>
        <v>010</v>
      </c>
      <c r="D91" s="126">
        <f>IF(ISODD( INT(表格4_711[[#This Row],[DEC]]/(2^($A$1-COLUMN())))),1,0)</f>
        <v>1</v>
      </c>
      <c r="E91" s="126">
        <f>IF(ISODD( INT(表格4_711[[#This Row],[DEC]]/(2^($A$1-COLUMN())))),1,0)</f>
        <v>1</v>
      </c>
      <c r="F91" s="127">
        <f>IF(ISODD( INT(表格4_711[[#This Row],[DEC]]/(2^($A$1-COLUMN())))),1,0)</f>
        <v>0</v>
      </c>
      <c r="G91" s="126">
        <f>IF(ISODD( INT(表格4_711[[#This Row],[DEC]]/(2^($A$1-COLUMN())))),1,0)</f>
        <v>0</v>
      </c>
      <c r="H91" s="126">
        <f>IF(ISODD( INT(表格4_711[[#This Row],[DEC]]/(2^($A$1-COLUMN())))),1,0)</f>
        <v>1</v>
      </c>
      <c r="I91" s="187" t="str">
        <f xml:space="preserve"> IF(bitand(表格4_711[[#This Row],[DEC]],7)&lt;1,"//", VLOOKUP(INT(表格4_711[[#This Row],[DEC]]/8),表格4_7112[],5,FALSE))</f>
        <v>Attack</v>
      </c>
      <c r="J91" s="139" t="str">
        <f xml:space="preserve"> VLOOKUP(bitand(表格4_711[[#This Row],[DEC]],8-1),表格2[],2,FALSE)</f>
        <v/>
      </c>
      <c r="K91" s="139" t="str">
        <f>CONCATENATE(表格4_711[[#This Row],[反應]],表格4_711[[#This Row],[補正]]," = ",表格4_711[[#This Row],[DEC]],",")</f>
        <v>Attack = 89,</v>
      </c>
      <c r="L91" s="139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擊",</v>
      </c>
    </row>
    <row r="92" spans="2:12" x14ac:dyDescent="0.25">
      <c r="B92" s="99">
        <f t="shared" si="2"/>
        <v>90</v>
      </c>
      <c r="C92" s="125" t="str">
        <f>DEC2BIN(表格4_711[[#This Row],[DEC]]/2^($A$1-COLUMN()),3)</f>
        <v>010</v>
      </c>
      <c r="D92" s="126">
        <f>IF(ISODD( INT(表格4_711[[#This Row],[DEC]]/(2^($A$1-COLUMN())))),1,0)</f>
        <v>1</v>
      </c>
      <c r="E92" s="126">
        <f>IF(ISODD( INT(表格4_711[[#This Row],[DEC]]/(2^($A$1-COLUMN())))),1,0)</f>
        <v>1</v>
      </c>
      <c r="F92" s="127">
        <f>IF(ISODD( INT(表格4_711[[#This Row],[DEC]]/(2^($A$1-COLUMN())))),1,0)</f>
        <v>0</v>
      </c>
      <c r="G92" s="126">
        <f>IF(ISODD( INT(表格4_711[[#This Row],[DEC]]/(2^($A$1-COLUMN())))),1,0)</f>
        <v>1</v>
      </c>
      <c r="H92" s="126">
        <f>IF(ISODD( INT(表格4_711[[#This Row],[DEC]]/(2^($A$1-COLUMN())))),1,0)</f>
        <v>0</v>
      </c>
      <c r="I92" s="210" t="str">
        <f xml:space="preserve"> IF(bitand(表格4_711[[#This Row],[DEC]],7)&lt;1,"//", VLOOKUP(INT(表格4_711[[#This Row],[DEC]]/8),表格4_7112[],5,FALSE))</f>
        <v>Attack</v>
      </c>
      <c r="J92" s="207" t="str">
        <f xml:space="preserve"> VLOOKUP(bitand(表格4_711[[#This Row],[DEC]],8-1),表格2[],2,FALSE)</f>
        <v>_Clear</v>
      </c>
      <c r="K92" s="167" t="str">
        <f>CONCATENATE(表格4_711[[#This Row],[反應]],表格4_711[[#This Row],[補正]]," = ",表格4_711[[#This Row],[DEC]],",")</f>
        <v>Attack_Clear = 90,</v>
      </c>
      <c r="L9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擊_解除",</v>
      </c>
    </row>
    <row r="93" spans="2:12" x14ac:dyDescent="0.25">
      <c r="B93" s="99">
        <f t="shared" si="2"/>
        <v>91</v>
      </c>
      <c r="C93" s="125" t="str">
        <f>DEC2BIN(表格4_711[[#This Row],[DEC]]/2^($A$1-COLUMN()),3)</f>
        <v>010</v>
      </c>
      <c r="D93" s="126">
        <f>IF(ISODD( INT(表格4_711[[#This Row],[DEC]]/(2^($A$1-COLUMN())))),1,0)</f>
        <v>1</v>
      </c>
      <c r="E93" s="126">
        <f>IF(ISODD( INT(表格4_711[[#This Row],[DEC]]/(2^($A$1-COLUMN())))),1,0)</f>
        <v>1</v>
      </c>
      <c r="F93" s="127">
        <f>IF(ISODD( INT(表格4_711[[#This Row],[DEC]]/(2^($A$1-COLUMN())))),1,0)</f>
        <v>0</v>
      </c>
      <c r="G93" s="126">
        <f>IF(ISODD( INT(表格4_711[[#This Row],[DEC]]/(2^($A$1-COLUMN())))),1,0)</f>
        <v>1</v>
      </c>
      <c r="H93" s="126">
        <f>IF(ISODD( INT(表格4_711[[#This Row],[DEC]]/(2^($A$1-COLUMN())))),1,0)</f>
        <v>1</v>
      </c>
      <c r="I93" s="211" t="str">
        <f xml:space="preserve"> IF(bitand(表格4_711[[#This Row],[DEC]],7)&lt;1,"//", VLOOKUP(INT(表格4_711[[#This Row],[DEC]]/8),表格4_7112[],5,FALSE))</f>
        <v>Attack</v>
      </c>
      <c r="J93" s="208" t="str">
        <f xml:space="preserve"> VLOOKUP(bitand(表格4_711[[#This Row],[DEC]],8-1),表格2[],2,FALSE)</f>
        <v>_Spread</v>
      </c>
      <c r="K93" s="167" t="str">
        <f>CONCATENATE(表格4_711[[#This Row],[反應]],表格4_711[[#This Row],[補正]]," = ",表格4_711[[#This Row],[DEC]],",")</f>
        <v>Attack_Spread = 91,</v>
      </c>
      <c r="L9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擊_散播",</v>
      </c>
    </row>
    <row r="94" spans="2:12" x14ac:dyDescent="0.25">
      <c r="B94" s="99">
        <f t="shared" si="2"/>
        <v>92</v>
      </c>
      <c r="C94" s="125" t="str">
        <f>DEC2BIN(表格4_711[[#This Row],[DEC]]/2^($A$1-COLUMN()),3)</f>
        <v>010</v>
      </c>
      <c r="D94" s="126">
        <f>IF(ISODD( INT(表格4_711[[#This Row],[DEC]]/(2^($A$1-COLUMN())))),1,0)</f>
        <v>1</v>
      </c>
      <c r="E94" s="126">
        <f>IF(ISODD( INT(表格4_711[[#This Row],[DEC]]/(2^($A$1-COLUMN())))),1,0)</f>
        <v>1</v>
      </c>
      <c r="F94" s="127">
        <f>IF(ISODD( INT(表格4_711[[#This Row],[DEC]]/(2^($A$1-COLUMN())))),1,0)</f>
        <v>1</v>
      </c>
      <c r="G94" s="126">
        <f>IF(ISODD( INT(表格4_711[[#This Row],[DEC]]/(2^($A$1-COLUMN())))),1,0)</f>
        <v>0</v>
      </c>
      <c r="H94" s="126">
        <f>IF(ISODD( INT(表格4_711[[#This Row],[DEC]]/(2^($A$1-COLUMN())))),1,0)</f>
        <v>0</v>
      </c>
      <c r="I94" s="212" t="str">
        <f xml:space="preserve"> IF(bitand(表格4_711[[#This Row],[DEC]],7)&lt;1,"//", VLOOKUP(INT(表格4_711[[#This Row],[DEC]]/8),表格4_7112[],5,FALSE))</f>
        <v>Attack</v>
      </c>
      <c r="J94" s="147" t="str">
        <f xml:space="preserve"> VLOOKUP(bitand(表格4_711[[#This Row],[DEC]],8-1),表格2[],2,FALSE)</f>
        <v>_RangeDown</v>
      </c>
      <c r="K94" s="167" t="str">
        <f>CONCATENATE(表格4_711[[#This Row],[反應]],表格4_711[[#This Row],[補正]]," = ",表格4_711[[#This Row],[DEC]],",")</f>
        <v>Attack_RangeDown = 92,</v>
      </c>
      <c r="L9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擊_範圍降低",</v>
      </c>
    </row>
    <row r="95" spans="2:12" x14ac:dyDescent="0.25">
      <c r="B95" s="99">
        <f t="shared" si="2"/>
        <v>93</v>
      </c>
      <c r="C95" s="125" t="str">
        <f>DEC2BIN(表格4_711[[#This Row],[DEC]]/2^($A$1-COLUMN()),3)</f>
        <v>010</v>
      </c>
      <c r="D95" s="126">
        <f>IF(ISODD( INT(表格4_711[[#This Row],[DEC]]/(2^($A$1-COLUMN())))),1,0)</f>
        <v>1</v>
      </c>
      <c r="E95" s="126">
        <f>IF(ISODD( INT(表格4_711[[#This Row],[DEC]]/(2^($A$1-COLUMN())))),1,0)</f>
        <v>1</v>
      </c>
      <c r="F95" s="127">
        <f>IF(ISODD( INT(表格4_711[[#This Row],[DEC]]/(2^($A$1-COLUMN())))),1,0)</f>
        <v>1</v>
      </c>
      <c r="G95" s="126">
        <f>IF(ISODD( INT(表格4_711[[#This Row],[DEC]]/(2^($A$1-COLUMN())))),1,0)</f>
        <v>0</v>
      </c>
      <c r="H95" s="126">
        <f>IF(ISODD( INT(表格4_711[[#This Row],[DEC]]/(2^($A$1-COLUMN())))),1,0)</f>
        <v>1</v>
      </c>
      <c r="I95" s="212" t="str">
        <f xml:space="preserve"> IF(bitand(表格4_711[[#This Row],[DEC]],7)&lt;1,"//", VLOOKUP(INT(表格4_711[[#This Row],[DEC]]/8),表格4_7112[],5,FALSE))</f>
        <v>Attack</v>
      </c>
      <c r="J95" s="147" t="str">
        <f xml:space="preserve"> VLOOKUP(bitand(表格4_711[[#This Row],[DEC]],8-1),表格2[],2,FALSE)</f>
        <v>_RangeUP</v>
      </c>
      <c r="K95" s="167" t="str">
        <f>CONCATENATE(表格4_711[[#This Row],[反應]],表格4_711[[#This Row],[補正]]," = ",表格4_711[[#This Row],[DEC]],",")</f>
        <v>Attack_RangeUP = 93,</v>
      </c>
      <c r="L9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擊_範圍提昇",</v>
      </c>
    </row>
    <row r="96" spans="2:12" x14ac:dyDescent="0.25">
      <c r="B96" s="99">
        <f t="shared" si="2"/>
        <v>94</v>
      </c>
      <c r="C96" s="125" t="str">
        <f>DEC2BIN(表格4_711[[#This Row],[DEC]]/2^($A$1-COLUMN()),3)</f>
        <v>010</v>
      </c>
      <c r="D96" s="126">
        <f>IF(ISODD( INT(表格4_711[[#This Row],[DEC]]/(2^($A$1-COLUMN())))),1,0)</f>
        <v>1</v>
      </c>
      <c r="E96" s="126">
        <f>IF(ISODD( INT(表格4_711[[#This Row],[DEC]]/(2^($A$1-COLUMN())))),1,0)</f>
        <v>1</v>
      </c>
      <c r="F96" s="127">
        <f>IF(ISODD( INT(表格4_711[[#This Row],[DEC]]/(2^($A$1-COLUMN())))),1,0)</f>
        <v>1</v>
      </c>
      <c r="G96" s="126">
        <f>IF(ISODD( INT(表格4_711[[#This Row],[DEC]]/(2^($A$1-COLUMN())))),1,0)</f>
        <v>1</v>
      </c>
      <c r="H96" s="126">
        <f>IF(ISODD( INT(表格4_711[[#This Row],[DEC]]/(2^($A$1-COLUMN())))),1,0)</f>
        <v>0</v>
      </c>
      <c r="I96" s="212" t="str">
        <f xml:space="preserve"> IF(bitand(表格4_711[[#This Row],[DEC]],7)&lt;1,"//", VLOOKUP(INT(表格4_711[[#This Row],[DEC]]/8),表格4_7112[],5,FALSE))</f>
        <v>Attack</v>
      </c>
      <c r="J96" s="147" t="str">
        <f xml:space="preserve"> VLOOKUP(bitand(表格4_711[[#This Row],[DEC]],8-1),表格2[],2,FALSE)</f>
        <v>_IntensityDown</v>
      </c>
      <c r="K96" s="167" t="str">
        <f>CONCATENATE(表格4_711[[#This Row],[反應]],表格4_711[[#This Row],[補正]]," = ",表格4_711[[#This Row],[DEC]],",")</f>
        <v>Attack_IntensityDown = 94,</v>
      </c>
      <c r="L9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擊_強度降低",</v>
      </c>
    </row>
    <row r="97" spans="2:12" x14ac:dyDescent="0.25">
      <c r="B97" s="99">
        <f t="shared" si="2"/>
        <v>95</v>
      </c>
      <c r="C97" s="125" t="str">
        <f>DEC2BIN(表格4_711[[#This Row],[DEC]]/2^($A$1-COLUMN()),3)</f>
        <v>010</v>
      </c>
      <c r="D97" s="126">
        <f>IF(ISODD( INT(表格4_711[[#This Row],[DEC]]/(2^($A$1-COLUMN())))),1,0)</f>
        <v>1</v>
      </c>
      <c r="E97" s="126">
        <f>IF(ISODD( INT(表格4_711[[#This Row],[DEC]]/(2^($A$1-COLUMN())))),1,0)</f>
        <v>1</v>
      </c>
      <c r="F97" s="127">
        <f>IF(ISODD( INT(表格4_711[[#This Row],[DEC]]/(2^($A$1-COLUMN())))),1,0)</f>
        <v>1</v>
      </c>
      <c r="G97" s="126">
        <f>IF(ISODD( INT(表格4_711[[#This Row],[DEC]]/(2^($A$1-COLUMN())))),1,0)</f>
        <v>1</v>
      </c>
      <c r="H97" s="126">
        <f>IF(ISODD( INT(表格4_711[[#This Row],[DEC]]/(2^($A$1-COLUMN())))),1,0)</f>
        <v>1</v>
      </c>
      <c r="I97" s="212" t="str">
        <f xml:space="preserve"> IF(bitand(表格4_711[[#This Row],[DEC]],7)&lt;1,"//", VLOOKUP(INT(表格4_711[[#This Row],[DEC]]/8),表格4_7112[],5,FALSE))</f>
        <v>Attack</v>
      </c>
      <c r="J97" s="147" t="str">
        <f xml:space="preserve"> VLOOKUP(bitand(表格4_711[[#This Row],[DEC]],8-1),表格2[],2,FALSE)</f>
        <v>_IntensityUp</v>
      </c>
      <c r="K97" s="167" t="str">
        <f>CONCATENATE(表格4_711[[#This Row],[反應]],表格4_711[[#This Row],[補正]]," = ",表格4_711[[#This Row],[DEC]],",")</f>
        <v>Attack_IntensityUp = 95,</v>
      </c>
      <c r="L9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擊_強度提昇",</v>
      </c>
    </row>
    <row r="98" spans="2:12" x14ac:dyDescent="0.25">
      <c r="B98" s="99">
        <f t="shared" ref="B98:B129" si="3">ROW()-2</f>
        <v>96</v>
      </c>
      <c r="C98" s="125" t="str">
        <f>DEC2BIN(表格4_711[[#This Row],[DEC]]/2^($A$1-COLUMN()),3)</f>
        <v>011</v>
      </c>
      <c r="D98" s="126">
        <f>IF(ISODD( INT(表格4_711[[#This Row],[DEC]]/(2^($A$1-COLUMN())))),1,0)</f>
        <v>0</v>
      </c>
      <c r="E98" s="126">
        <f>IF(ISODD( INT(表格4_711[[#This Row],[DEC]]/(2^($A$1-COLUMN())))),1,0)</f>
        <v>0</v>
      </c>
      <c r="F98" s="127">
        <f>IF(ISODD( INT(表格4_711[[#This Row],[DEC]]/(2^($A$1-COLUMN())))),1,0)</f>
        <v>0</v>
      </c>
      <c r="G98" s="126">
        <f>IF(ISODD( INT(表格4_711[[#This Row],[DEC]]/(2^($A$1-COLUMN())))),1,0)</f>
        <v>0</v>
      </c>
      <c r="H98" s="126">
        <f>IF(ISODD( INT(表格4_711[[#This Row],[DEC]]/(2^($A$1-COLUMN())))),1,0)</f>
        <v>0</v>
      </c>
      <c r="I98" s="192" t="str">
        <f xml:space="preserve"> IF(bitand(表格4_711[[#This Row],[DEC]],7)&lt;1,"//", VLOOKUP(INT(表格4_711[[#This Row],[DEC]]/8),表格4_7112[],5,FALSE))</f>
        <v>//</v>
      </c>
      <c r="J98" s="145" t="str">
        <f xml:space="preserve"> VLOOKUP(bitand(表格4_711[[#This Row],[DEC]],8-1),表格2[],2,FALSE)</f>
        <v/>
      </c>
      <c r="K98" s="144" t="str">
        <f>CONCATENATE(表格4_711[[#This Row],[反應]],表格4_711[[#This Row],[補正]]," = ",表格4_711[[#This Row],[DEC]],",")</f>
        <v>// = 96,</v>
      </c>
      <c r="L9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99" spans="2:12" x14ac:dyDescent="0.25">
      <c r="B99" s="99">
        <f t="shared" si="3"/>
        <v>97</v>
      </c>
      <c r="C99" s="125" t="str">
        <f>DEC2BIN(表格4_711[[#This Row],[DEC]]/2^($A$1-COLUMN()),3)</f>
        <v>011</v>
      </c>
      <c r="D99" s="126">
        <f>IF(ISODD( INT(表格4_711[[#This Row],[DEC]]/(2^($A$1-COLUMN())))),1,0)</f>
        <v>0</v>
      </c>
      <c r="E99" s="126">
        <f>IF(ISODD( INT(表格4_711[[#This Row],[DEC]]/(2^($A$1-COLUMN())))),1,0)</f>
        <v>0</v>
      </c>
      <c r="F99" s="127">
        <f>IF(ISODD( INT(表格4_711[[#This Row],[DEC]]/(2^($A$1-COLUMN())))),1,0)</f>
        <v>0</v>
      </c>
      <c r="G99" s="126">
        <f>IF(ISODD( INT(表格4_711[[#This Row],[DEC]]/(2^($A$1-COLUMN())))),1,0)</f>
        <v>0</v>
      </c>
      <c r="H99" s="126">
        <f>IF(ISODD( INT(表格4_711[[#This Row],[DEC]]/(2^($A$1-COLUMN())))),1,0)</f>
        <v>1</v>
      </c>
      <c r="I99" s="188" t="str">
        <f xml:space="preserve"> IF(bitand(表格4_711[[#This Row],[DEC]],7)&lt;1,"//", VLOOKUP(INT(表格4_711[[#This Row],[DEC]]/8),表格4_7112[],5,FALSE))</f>
        <v>Explosion</v>
      </c>
      <c r="J99" s="140" t="str">
        <f xml:space="preserve"> VLOOKUP(bitand(表格4_711[[#This Row],[DEC]],8-1),表格2[],2,FALSE)</f>
        <v/>
      </c>
      <c r="K99" s="140" t="str">
        <f>CONCATENATE(表格4_711[[#This Row],[反應]],表格4_711[[#This Row],[補正]]," = ",表格4_711[[#This Row],[DEC]],",")</f>
        <v>Explosion = 97,</v>
      </c>
      <c r="L99" s="14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"續火態",</v>
      </c>
    </row>
    <row r="100" spans="2:12" x14ac:dyDescent="0.25">
      <c r="B100" s="99">
        <f t="shared" si="3"/>
        <v>98</v>
      </c>
      <c r="C100" s="125" t="str">
        <f>DEC2BIN(表格4_711[[#This Row],[DEC]]/2^($A$1-COLUMN()),3)</f>
        <v>011</v>
      </c>
      <c r="D100" s="126">
        <f>IF(ISODD( INT(表格4_711[[#This Row],[DEC]]/(2^($A$1-COLUMN())))),1,0)</f>
        <v>0</v>
      </c>
      <c r="E100" s="126">
        <f>IF(ISODD( INT(表格4_711[[#This Row],[DEC]]/(2^($A$1-COLUMN())))),1,0)</f>
        <v>0</v>
      </c>
      <c r="F100" s="127">
        <f>IF(ISODD( INT(表格4_711[[#This Row],[DEC]]/(2^($A$1-COLUMN())))),1,0)</f>
        <v>0</v>
      </c>
      <c r="G100" s="126">
        <f>IF(ISODD( INT(表格4_711[[#This Row],[DEC]]/(2^($A$1-COLUMN())))),1,0)</f>
        <v>1</v>
      </c>
      <c r="H100" s="126">
        <f>IF(ISODD( INT(表格4_711[[#This Row],[DEC]]/(2^($A$1-COLUMN())))),1,0)</f>
        <v>0</v>
      </c>
      <c r="I100" s="210" t="str">
        <f xml:space="preserve"> IF(bitand(表格4_711[[#This Row],[DEC]],7)&lt;1,"//", VLOOKUP(INT(表格4_711[[#This Row],[DEC]]/8),表格4_7112[],5,FALSE))</f>
        <v>Explosion</v>
      </c>
      <c r="J100" s="207" t="str">
        <f xml:space="preserve"> VLOOKUP(bitand(表格4_711[[#This Row],[DEC]],8-1),表格2[],2,FALSE)</f>
        <v>_Clear</v>
      </c>
      <c r="K100" s="167" t="str">
        <f>CONCATENATE(表格4_711[[#This Row],[反應]],表格4_711[[#This Row],[補正]]," = ",表格4_711[[#This Row],[DEC]],",")</f>
        <v>Explosion_Clear = 98,</v>
      </c>
      <c r="L10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"續火態_解除",</v>
      </c>
    </row>
    <row r="101" spans="2:12" x14ac:dyDescent="0.25">
      <c r="B101" s="99">
        <f t="shared" si="3"/>
        <v>99</v>
      </c>
      <c r="C101" s="125" t="str">
        <f>DEC2BIN(表格4_711[[#This Row],[DEC]]/2^($A$1-COLUMN()),3)</f>
        <v>011</v>
      </c>
      <c r="D101" s="126">
        <f>IF(ISODD( INT(表格4_711[[#This Row],[DEC]]/(2^($A$1-COLUMN())))),1,0)</f>
        <v>0</v>
      </c>
      <c r="E101" s="126">
        <f>IF(ISODD( INT(表格4_711[[#This Row],[DEC]]/(2^($A$1-COLUMN())))),1,0)</f>
        <v>0</v>
      </c>
      <c r="F101" s="127">
        <f>IF(ISODD( INT(表格4_711[[#This Row],[DEC]]/(2^($A$1-COLUMN())))),1,0)</f>
        <v>0</v>
      </c>
      <c r="G101" s="126">
        <f>IF(ISODD( INT(表格4_711[[#This Row],[DEC]]/(2^($A$1-COLUMN())))),1,0)</f>
        <v>1</v>
      </c>
      <c r="H101" s="126">
        <f>IF(ISODD( INT(表格4_711[[#This Row],[DEC]]/(2^($A$1-COLUMN())))),1,0)</f>
        <v>1</v>
      </c>
      <c r="I101" s="211" t="str">
        <f xml:space="preserve"> IF(bitand(表格4_711[[#This Row],[DEC]],7)&lt;1,"//", VLOOKUP(INT(表格4_711[[#This Row],[DEC]]/8),表格4_7112[],5,FALSE))</f>
        <v>Explosion</v>
      </c>
      <c r="J101" s="208" t="str">
        <f xml:space="preserve"> VLOOKUP(bitand(表格4_711[[#This Row],[DEC]],8-1),表格2[],2,FALSE)</f>
        <v>_Spread</v>
      </c>
      <c r="K101" s="167" t="str">
        <f>CONCATENATE(表格4_711[[#This Row],[反應]],表格4_711[[#This Row],[補正]]," = ",表格4_711[[#This Row],[DEC]],",")</f>
        <v>Explosion_Spread = 99,</v>
      </c>
      <c r="L10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"續火態_散播",</v>
      </c>
    </row>
    <row r="102" spans="2:12" x14ac:dyDescent="0.25">
      <c r="B102" s="99">
        <f t="shared" si="3"/>
        <v>100</v>
      </c>
      <c r="C102" s="125" t="str">
        <f>DEC2BIN(表格4_711[[#This Row],[DEC]]/2^($A$1-COLUMN()),3)</f>
        <v>011</v>
      </c>
      <c r="D102" s="126">
        <f>IF(ISODD( INT(表格4_711[[#This Row],[DEC]]/(2^($A$1-COLUMN())))),1,0)</f>
        <v>0</v>
      </c>
      <c r="E102" s="126">
        <f>IF(ISODD( INT(表格4_711[[#This Row],[DEC]]/(2^($A$1-COLUMN())))),1,0)</f>
        <v>0</v>
      </c>
      <c r="F102" s="127">
        <f>IF(ISODD( INT(表格4_711[[#This Row],[DEC]]/(2^($A$1-COLUMN())))),1,0)</f>
        <v>1</v>
      </c>
      <c r="G102" s="126">
        <f>IF(ISODD( INT(表格4_711[[#This Row],[DEC]]/(2^($A$1-COLUMN())))),1,0)</f>
        <v>0</v>
      </c>
      <c r="H102" s="126">
        <f>IF(ISODD( INT(表格4_711[[#This Row],[DEC]]/(2^($A$1-COLUMN())))),1,0)</f>
        <v>0</v>
      </c>
      <c r="I102" s="212" t="str">
        <f xml:space="preserve"> IF(bitand(表格4_711[[#This Row],[DEC]],7)&lt;1,"//", VLOOKUP(INT(表格4_711[[#This Row],[DEC]]/8),表格4_7112[],5,FALSE))</f>
        <v>Explosion</v>
      </c>
      <c r="J102" s="147" t="str">
        <f xml:space="preserve"> VLOOKUP(bitand(表格4_711[[#This Row],[DEC]],8-1),表格2[],2,FALSE)</f>
        <v>_RangeDown</v>
      </c>
      <c r="K102" s="167" t="str">
        <f>CONCATENATE(表格4_711[[#This Row],[反應]],表格4_711[[#This Row],[補正]]," = ",表格4_711[[#This Row],[DEC]],",")</f>
        <v>Explosion_RangeDown = 100,</v>
      </c>
      <c r="L10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"續火態_範圍降低",</v>
      </c>
    </row>
    <row r="103" spans="2:12" x14ac:dyDescent="0.25">
      <c r="B103" s="99">
        <f t="shared" si="3"/>
        <v>101</v>
      </c>
      <c r="C103" s="125" t="str">
        <f>DEC2BIN(表格4_711[[#This Row],[DEC]]/2^($A$1-COLUMN()),3)</f>
        <v>011</v>
      </c>
      <c r="D103" s="126">
        <f>IF(ISODD( INT(表格4_711[[#This Row],[DEC]]/(2^($A$1-COLUMN())))),1,0)</f>
        <v>0</v>
      </c>
      <c r="E103" s="126">
        <f>IF(ISODD( INT(表格4_711[[#This Row],[DEC]]/(2^($A$1-COLUMN())))),1,0)</f>
        <v>0</v>
      </c>
      <c r="F103" s="127">
        <f>IF(ISODD( INT(表格4_711[[#This Row],[DEC]]/(2^($A$1-COLUMN())))),1,0)</f>
        <v>1</v>
      </c>
      <c r="G103" s="126">
        <f>IF(ISODD( INT(表格4_711[[#This Row],[DEC]]/(2^($A$1-COLUMN())))),1,0)</f>
        <v>0</v>
      </c>
      <c r="H103" s="126">
        <f>IF(ISODD( INT(表格4_711[[#This Row],[DEC]]/(2^($A$1-COLUMN())))),1,0)</f>
        <v>1</v>
      </c>
      <c r="I103" s="212" t="str">
        <f xml:space="preserve"> IF(bitand(表格4_711[[#This Row],[DEC]],7)&lt;1,"//", VLOOKUP(INT(表格4_711[[#This Row],[DEC]]/8),表格4_7112[],5,FALSE))</f>
        <v>Explosion</v>
      </c>
      <c r="J103" s="147" t="str">
        <f xml:space="preserve"> VLOOKUP(bitand(表格4_711[[#This Row],[DEC]],8-1),表格2[],2,FALSE)</f>
        <v>_RangeUP</v>
      </c>
      <c r="K103" s="167" t="str">
        <f>CONCATENATE(表格4_711[[#This Row],[反應]],表格4_711[[#This Row],[補正]]," = ",表格4_711[[#This Row],[DEC]],",")</f>
        <v>Explosion_RangeUP = 101,</v>
      </c>
      <c r="L10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"續火態_範圍提昇",</v>
      </c>
    </row>
    <row r="104" spans="2:12" x14ac:dyDescent="0.25">
      <c r="B104" s="99">
        <f t="shared" si="3"/>
        <v>102</v>
      </c>
      <c r="C104" s="125" t="str">
        <f>DEC2BIN(表格4_711[[#This Row],[DEC]]/2^($A$1-COLUMN()),3)</f>
        <v>011</v>
      </c>
      <c r="D104" s="126">
        <f>IF(ISODD( INT(表格4_711[[#This Row],[DEC]]/(2^($A$1-COLUMN())))),1,0)</f>
        <v>0</v>
      </c>
      <c r="E104" s="126">
        <f>IF(ISODD( INT(表格4_711[[#This Row],[DEC]]/(2^($A$1-COLUMN())))),1,0)</f>
        <v>0</v>
      </c>
      <c r="F104" s="127">
        <f>IF(ISODD( INT(表格4_711[[#This Row],[DEC]]/(2^($A$1-COLUMN())))),1,0)</f>
        <v>1</v>
      </c>
      <c r="G104" s="126">
        <f>IF(ISODD( INT(表格4_711[[#This Row],[DEC]]/(2^($A$1-COLUMN())))),1,0)</f>
        <v>1</v>
      </c>
      <c r="H104" s="126">
        <f>IF(ISODD( INT(表格4_711[[#This Row],[DEC]]/(2^($A$1-COLUMN())))),1,0)</f>
        <v>0</v>
      </c>
      <c r="I104" s="212" t="str">
        <f xml:space="preserve"> IF(bitand(表格4_711[[#This Row],[DEC]],7)&lt;1,"//", VLOOKUP(INT(表格4_711[[#This Row],[DEC]]/8),表格4_7112[],5,FALSE))</f>
        <v>Explosion</v>
      </c>
      <c r="J104" s="147" t="str">
        <f xml:space="preserve"> VLOOKUP(bitand(表格4_711[[#This Row],[DEC]],8-1),表格2[],2,FALSE)</f>
        <v>_IntensityDown</v>
      </c>
      <c r="K104" s="167" t="str">
        <f>CONCATENATE(表格4_711[[#This Row],[反應]],表格4_711[[#This Row],[補正]]," = ",表格4_711[[#This Row],[DEC]],",")</f>
        <v>Explosion_IntensityDown = 102,</v>
      </c>
      <c r="L10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"續火態_強度降低",</v>
      </c>
    </row>
    <row r="105" spans="2:12" x14ac:dyDescent="0.25">
      <c r="B105" s="99">
        <f t="shared" si="3"/>
        <v>103</v>
      </c>
      <c r="C105" s="125" t="str">
        <f>DEC2BIN(表格4_711[[#This Row],[DEC]]/2^($A$1-COLUMN()),3)</f>
        <v>011</v>
      </c>
      <c r="D105" s="126">
        <f>IF(ISODD( INT(表格4_711[[#This Row],[DEC]]/(2^($A$1-COLUMN())))),1,0)</f>
        <v>0</v>
      </c>
      <c r="E105" s="126">
        <f>IF(ISODD( INT(表格4_711[[#This Row],[DEC]]/(2^($A$1-COLUMN())))),1,0)</f>
        <v>0</v>
      </c>
      <c r="F105" s="127">
        <f>IF(ISODD( INT(表格4_711[[#This Row],[DEC]]/(2^($A$1-COLUMN())))),1,0)</f>
        <v>1</v>
      </c>
      <c r="G105" s="126">
        <f>IF(ISODD( INT(表格4_711[[#This Row],[DEC]]/(2^($A$1-COLUMN())))),1,0)</f>
        <v>1</v>
      </c>
      <c r="H105" s="126">
        <f>IF(ISODD( INT(表格4_711[[#This Row],[DEC]]/(2^($A$1-COLUMN())))),1,0)</f>
        <v>1</v>
      </c>
      <c r="I105" s="212" t="str">
        <f xml:space="preserve"> IF(bitand(表格4_711[[#This Row],[DEC]],7)&lt;1,"//", VLOOKUP(INT(表格4_711[[#This Row],[DEC]]/8),表格4_7112[],5,FALSE))</f>
        <v>Explosion</v>
      </c>
      <c r="J105" s="147" t="str">
        <f xml:space="preserve"> VLOOKUP(bitand(表格4_711[[#This Row],[DEC]],8-1),表格2[],2,FALSE)</f>
        <v>_IntensityUp</v>
      </c>
      <c r="K105" s="167" t="str">
        <f>CONCATENATE(表格4_711[[#This Row],[反應]],表格4_711[[#This Row],[補正]]," = ",表格4_711[[#This Row],[DEC]],",")</f>
        <v>Explosion_IntensityUp = 103,</v>
      </c>
      <c r="L10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"續火態_強度提昇",</v>
      </c>
    </row>
    <row r="106" spans="2:12" x14ac:dyDescent="0.25">
      <c r="B106" s="99">
        <f t="shared" si="3"/>
        <v>104</v>
      </c>
      <c r="C106" s="125" t="str">
        <f>DEC2BIN(表格4_711[[#This Row],[DEC]]/2^($A$1-COLUMN()),3)</f>
        <v>011</v>
      </c>
      <c r="D106" s="126">
        <f>IF(ISODD( INT(表格4_711[[#This Row],[DEC]]/(2^($A$1-COLUMN())))),1,0)</f>
        <v>0</v>
      </c>
      <c r="E106" s="126">
        <f>IF(ISODD( INT(表格4_711[[#This Row],[DEC]]/(2^($A$1-COLUMN())))),1,0)</f>
        <v>1</v>
      </c>
      <c r="F106" s="127">
        <f>IF(ISODD( INT(表格4_711[[#This Row],[DEC]]/(2^($A$1-COLUMN())))),1,0)</f>
        <v>0</v>
      </c>
      <c r="G106" s="126">
        <f>IF(ISODD( INT(表格4_711[[#This Row],[DEC]]/(2^($A$1-COLUMN())))),1,0)</f>
        <v>0</v>
      </c>
      <c r="H106" s="126">
        <f>IF(ISODD( INT(表格4_711[[#This Row],[DEC]]/(2^($A$1-COLUMN())))),1,0)</f>
        <v>0</v>
      </c>
      <c r="I106" s="192" t="str">
        <f xml:space="preserve"> IF(bitand(表格4_711[[#This Row],[DEC]],7)&lt;1,"//", VLOOKUP(INT(表格4_711[[#This Row],[DEC]]/8),表格4_7112[],5,FALSE))</f>
        <v>//</v>
      </c>
      <c r="J106" s="145" t="str">
        <f xml:space="preserve"> VLOOKUP(bitand(表格4_711[[#This Row],[DEC]],8-1),表格2[],2,FALSE)</f>
        <v/>
      </c>
      <c r="K106" s="144" t="str">
        <f>CONCATENATE(表格4_711[[#This Row],[反應]],表格4_711[[#This Row],[補正]]," = ",表格4_711[[#This Row],[DEC]],",")</f>
        <v>// = 104,</v>
      </c>
      <c r="L10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07" spans="2:12" x14ac:dyDescent="0.25">
      <c r="B107" s="99">
        <f t="shared" si="3"/>
        <v>105</v>
      </c>
      <c r="C107" s="125" t="str">
        <f>DEC2BIN(表格4_711[[#This Row],[DEC]]/2^($A$1-COLUMN()),3)</f>
        <v>011</v>
      </c>
      <c r="D107" s="126">
        <f>IF(ISODD( INT(表格4_711[[#This Row],[DEC]]/(2^($A$1-COLUMN())))),1,0)</f>
        <v>0</v>
      </c>
      <c r="E107" s="126">
        <f>IF(ISODD( INT(表格4_711[[#This Row],[DEC]]/(2^($A$1-COLUMN())))),1,0)</f>
        <v>1</v>
      </c>
      <c r="F107" s="127">
        <f>IF(ISODD( INT(表格4_711[[#This Row],[DEC]]/(2^($A$1-COLUMN())))),1,0)</f>
        <v>0</v>
      </c>
      <c r="G107" s="126">
        <f>IF(ISODD( INT(表格4_711[[#This Row],[DEC]]/(2^($A$1-COLUMN())))),1,0)</f>
        <v>0</v>
      </c>
      <c r="H107" s="126">
        <f>IF(ISODD( INT(表格4_711[[#This Row],[DEC]]/(2^($A$1-COLUMN())))),1,0)</f>
        <v>1</v>
      </c>
      <c r="I107" s="189" t="str">
        <f xml:space="preserve"> IF(bitand(表格4_711[[#This Row],[DEC]],7)&lt;1,"//", VLOOKUP(INT(表格4_711[[#This Row],[DEC]]/8),表格4_7112[],5,FALSE))</f>
        <v>Burn</v>
      </c>
      <c r="J107" s="141" t="str">
        <f xml:space="preserve"> VLOOKUP(bitand(表格4_711[[#This Row],[DEC]],8-1),表格2[],2,FALSE)</f>
        <v/>
      </c>
      <c r="K107" s="141" t="str">
        <f>CONCATENATE(表格4_711[[#This Row],[反應]],表格4_711[[#This Row],[補正]]," = ",表格4_711[[#This Row],[DEC]],",")</f>
        <v>Burn = 105,</v>
      </c>
      <c r="L107" s="14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燒",</v>
      </c>
    </row>
    <row r="108" spans="2:12" x14ac:dyDescent="0.25">
      <c r="B108" s="99">
        <f t="shared" si="3"/>
        <v>106</v>
      </c>
      <c r="C108" s="125" t="str">
        <f>DEC2BIN(表格4_711[[#This Row],[DEC]]/2^($A$1-COLUMN()),3)</f>
        <v>011</v>
      </c>
      <c r="D108" s="126">
        <f>IF(ISODD( INT(表格4_711[[#This Row],[DEC]]/(2^($A$1-COLUMN())))),1,0)</f>
        <v>0</v>
      </c>
      <c r="E108" s="126">
        <f>IF(ISODD( INT(表格4_711[[#This Row],[DEC]]/(2^($A$1-COLUMN())))),1,0)</f>
        <v>1</v>
      </c>
      <c r="F108" s="127">
        <f>IF(ISODD( INT(表格4_711[[#This Row],[DEC]]/(2^($A$1-COLUMN())))),1,0)</f>
        <v>0</v>
      </c>
      <c r="G108" s="126">
        <f>IF(ISODD( INT(表格4_711[[#This Row],[DEC]]/(2^($A$1-COLUMN())))),1,0)</f>
        <v>1</v>
      </c>
      <c r="H108" s="126">
        <f>IF(ISODD( INT(表格4_711[[#This Row],[DEC]]/(2^($A$1-COLUMN())))),1,0)</f>
        <v>0</v>
      </c>
      <c r="I108" s="210" t="str">
        <f xml:space="preserve"> IF(bitand(表格4_711[[#This Row],[DEC]],7)&lt;1,"//", VLOOKUP(INT(表格4_711[[#This Row],[DEC]]/8),表格4_7112[],5,FALSE))</f>
        <v>Burn</v>
      </c>
      <c r="J108" s="207" t="str">
        <f xml:space="preserve"> VLOOKUP(bitand(表格4_711[[#This Row],[DEC]],8-1),表格2[],2,FALSE)</f>
        <v>_Clear</v>
      </c>
      <c r="K108" s="167" t="str">
        <f>CONCATENATE(表格4_711[[#This Row],[反應]],表格4_711[[#This Row],[補正]]," = ",表格4_711[[#This Row],[DEC]],",")</f>
        <v>Burn_Clear = 106,</v>
      </c>
      <c r="L10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燒_解除",</v>
      </c>
    </row>
    <row r="109" spans="2:12" x14ac:dyDescent="0.25">
      <c r="B109" s="99">
        <f t="shared" si="3"/>
        <v>107</v>
      </c>
      <c r="C109" s="125" t="str">
        <f>DEC2BIN(表格4_711[[#This Row],[DEC]]/2^($A$1-COLUMN()),3)</f>
        <v>011</v>
      </c>
      <c r="D109" s="126">
        <f>IF(ISODD( INT(表格4_711[[#This Row],[DEC]]/(2^($A$1-COLUMN())))),1,0)</f>
        <v>0</v>
      </c>
      <c r="E109" s="126">
        <f>IF(ISODD( INT(表格4_711[[#This Row],[DEC]]/(2^($A$1-COLUMN())))),1,0)</f>
        <v>1</v>
      </c>
      <c r="F109" s="127">
        <f>IF(ISODD( INT(表格4_711[[#This Row],[DEC]]/(2^($A$1-COLUMN())))),1,0)</f>
        <v>0</v>
      </c>
      <c r="G109" s="126">
        <f>IF(ISODD( INT(表格4_711[[#This Row],[DEC]]/(2^($A$1-COLUMN())))),1,0)</f>
        <v>1</v>
      </c>
      <c r="H109" s="126">
        <f>IF(ISODD( INT(表格4_711[[#This Row],[DEC]]/(2^($A$1-COLUMN())))),1,0)</f>
        <v>1</v>
      </c>
      <c r="I109" s="211" t="str">
        <f xml:space="preserve"> IF(bitand(表格4_711[[#This Row],[DEC]],7)&lt;1,"//", VLOOKUP(INT(表格4_711[[#This Row],[DEC]]/8),表格4_7112[],5,FALSE))</f>
        <v>Burn</v>
      </c>
      <c r="J109" s="208" t="str">
        <f xml:space="preserve"> VLOOKUP(bitand(表格4_711[[#This Row],[DEC]],8-1),表格2[],2,FALSE)</f>
        <v>_Spread</v>
      </c>
      <c r="K109" s="167" t="str">
        <f>CONCATENATE(表格4_711[[#This Row],[反應]],表格4_711[[#This Row],[補正]]," = ",表格4_711[[#This Row],[DEC]],",")</f>
        <v>Burn_Spread = 107,</v>
      </c>
      <c r="L10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燒_散播",</v>
      </c>
    </row>
    <row r="110" spans="2:12" x14ac:dyDescent="0.25">
      <c r="B110" s="99">
        <f t="shared" si="3"/>
        <v>108</v>
      </c>
      <c r="C110" s="125" t="str">
        <f>DEC2BIN(表格4_711[[#This Row],[DEC]]/2^($A$1-COLUMN()),3)</f>
        <v>011</v>
      </c>
      <c r="D110" s="126">
        <f>IF(ISODD( INT(表格4_711[[#This Row],[DEC]]/(2^($A$1-COLUMN())))),1,0)</f>
        <v>0</v>
      </c>
      <c r="E110" s="126">
        <f>IF(ISODD( INT(表格4_711[[#This Row],[DEC]]/(2^($A$1-COLUMN())))),1,0)</f>
        <v>1</v>
      </c>
      <c r="F110" s="127">
        <f>IF(ISODD( INT(表格4_711[[#This Row],[DEC]]/(2^($A$1-COLUMN())))),1,0)</f>
        <v>1</v>
      </c>
      <c r="G110" s="126">
        <f>IF(ISODD( INT(表格4_711[[#This Row],[DEC]]/(2^($A$1-COLUMN())))),1,0)</f>
        <v>0</v>
      </c>
      <c r="H110" s="126">
        <f>IF(ISODD( INT(表格4_711[[#This Row],[DEC]]/(2^($A$1-COLUMN())))),1,0)</f>
        <v>0</v>
      </c>
      <c r="I110" s="212" t="str">
        <f xml:space="preserve"> IF(bitand(表格4_711[[#This Row],[DEC]],7)&lt;1,"//", VLOOKUP(INT(表格4_711[[#This Row],[DEC]]/8),表格4_7112[],5,FALSE))</f>
        <v>Burn</v>
      </c>
      <c r="J110" s="147" t="str">
        <f xml:space="preserve"> VLOOKUP(bitand(表格4_711[[#This Row],[DEC]],8-1),表格2[],2,FALSE)</f>
        <v>_RangeDown</v>
      </c>
      <c r="K110" s="167" t="str">
        <f>CONCATENATE(表格4_711[[#This Row],[反應]],表格4_711[[#This Row],[補正]]," = ",表格4_711[[#This Row],[DEC]],",")</f>
        <v>Burn_RangeDown = 108,</v>
      </c>
      <c r="L11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燒_範圍降低",</v>
      </c>
    </row>
    <row r="111" spans="2:12" x14ac:dyDescent="0.25">
      <c r="B111" s="99">
        <f t="shared" si="3"/>
        <v>109</v>
      </c>
      <c r="C111" s="125" t="str">
        <f>DEC2BIN(表格4_711[[#This Row],[DEC]]/2^($A$1-COLUMN()),3)</f>
        <v>011</v>
      </c>
      <c r="D111" s="126">
        <f>IF(ISODD( INT(表格4_711[[#This Row],[DEC]]/(2^($A$1-COLUMN())))),1,0)</f>
        <v>0</v>
      </c>
      <c r="E111" s="126">
        <f>IF(ISODD( INT(表格4_711[[#This Row],[DEC]]/(2^($A$1-COLUMN())))),1,0)</f>
        <v>1</v>
      </c>
      <c r="F111" s="127">
        <f>IF(ISODD( INT(表格4_711[[#This Row],[DEC]]/(2^($A$1-COLUMN())))),1,0)</f>
        <v>1</v>
      </c>
      <c r="G111" s="126">
        <f>IF(ISODD( INT(表格4_711[[#This Row],[DEC]]/(2^($A$1-COLUMN())))),1,0)</f>
        <v>0</v>
      </c>
      <c r="H111" s="126">
        <f>IF(ISODD( INT(表格4_711[[#This Row],[DEC]]/(2^($A$1-COLUMN())))),1,0)</f>
        <v>1</v>
      </c>
      <c r="I111" s="212" t="str">
        <f xml:space="preserve"> IF(bitand(表格4_711[[#This Row],[DEC]],7)&lt;1,"//", VLOOKUP(INT(表格4_711[[#This Row],[DEC]]/8),表格4_7112[],5,FALSE))</f>
        <v>Burn</v>
      </c>
      <c r="J111" s="147" t="str">
        <f xml:space="preserve"> VLOOKUP(bitand(表格4_711[[#This Row],[DEC]],8-1),表格2[],2,FALSE)</f>
        <v>_RangeUP</v>
      </c>
      <c r="K111" s="167" t="str">
        <f>CONCATENATE(表格4_711[[#This Row],[反應]],表格4_711[[#This Row],[補正]]," = ",表格4_711[[#This Row],[DEC]],",")</f>
        <v>Burn_RangeUP = 109,</v>
      </c>
      <c r="L11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燒_範圍提昇",</v>
      </c>
    </row>
    <row r="112" spans="2:12" x14ac:dyDescent="0.25">
      <c r="B112" s="99">
        <f t="shared" si="3"/>
        <v>110</v>
      </c>
      <c r="C112" s="125" t="str">
        <f>DEC2BIN(表格4_711[[#This Row],[DEC]]/2^($A$1-COLUMN()),3)</f>
        <v>011</v>
      </c>
      <c r="D112" s="126">
        <f>IF(ISODD( INT(表格4_711[[#This Row],[DEC]]/(2^($A$1-COLUMN())))),1,0)</f>
        <v>0</v>
      </c>
      <c r="E112" s="126">
        <f>IF(ISODD( INT(表格4_711[[#This Row],[DEC]]/(2^($A$1-COLUMN())))),1,0)</f>
        <v>1</v>
      </c>
      <c r="F112" s="127">
        <f>IF(ISODD( INT(表格4_711[[#This Row],[DEC]]/(2^($A$1-COLUMN())))),1,0)</f>
        <v>1</v>
      </c>
      <c r="G112" s="126">
        <f>IF(ISODD( INT(表格4_711[[#This Row],[DEC]]/(2^($A$1-COLUMN())))),1,0)</f>
        <v>1</v>
      </c>
      <c r="H112" s="126">
        <f>IF(ISODD( INT(表格4_711[[#This Row],[DEC]]/(2^($A$1-COLUMN())))),1,0)</f>
        <v>0</v>
      </c>
      <c r="I112" s="212" t="str">
        <f xml:space="preserve"> IF(bitand(表格4_711[[#This Row],[DEC]],7)&lt;1,"//", VLOOKUP(INT(表格4_711[[#This Row],[DEC]]/8),表格4_7112[],5,FALSE))</f>
        <v>Burn</v>
      </c>
      <c r="J112" s="147" t="str">
        <f xml:space="preserve"> VLOOKUP(bitand(表格4_711[[#This Row],[DEC]],8-1),表格2[],2,FALSE)</f>
        <v>_IntensityDown</v>
      </c>
      <c r="K112" s="167" t="str">
        <f>CONCATENATE(表格4_711[[#This Row],[反應]],表格4_711[[#This Row],[補正]]," = ",表格4_711[[#This Row],[DEC]],",")</f>
        <v>Burn_IntensityDown = 110,</v>
      </c>
      <c r="L1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燒_強度降低",</v>
      </c>
    </row>
    <row r="113" spans="2:12" x14ac:dyDescent="0.25">
      <c r="B113" s="99">
        <f t="shared" si="3"/>
        <v>111</v>
      </c>
      <c r="C113" s="125" t="str">
        <f>DEC2BIN(表格4_711[[#This Row],[DEC]]/2^($A$1-COLUMN()),3)</f>
        <v>011</v>
      </c>
      <c r="D113" s="126">
        <f>IF(ISODD( INT(表格4_711[[#This Row],[DEC]]/(2^($A$1-COLUMN())))),1,0)</f>
        <v>0</v>
      </c>
      <c r="E113" s="126">
        <f>IF(ISODD( INT(表格4_711[[#This Row],[DEC]]/(2^($A$1-COLUMN())))),1,0)</f>
        <v>1</v>
      </c>
      <c r="F113" s="127">
        <f>IF(ISODD( INT(表格4_711[[#This Row],[DEC]]/(2^($A$1-COLUMN())))),1,0)</f>
        <v>1</v>
      </c>
      <c r="G113" s="126">
        <f>IF(ISODD( INT(表格4_711[[#This Row],[DEC]]/(2^($A$1-COLUMN())))),1,0)</f>
        <v>1</v>
      </c>
      <c r="H113" s="126">
        <f>IF(ISODD( INT(表格4_711[[#This Row],[DEC]]/(2^($A$1-COLUMN())))),1,0)</f>
        <v>1</v>
      </c>
      <c r="I113" s="212" t="str">
        <f xml:space="preserve"> IF(bitand(表格4_711[[#This Row],[DEC]],7)&lt;1,"//", VLOOKUP(INT(表格4_711[[#This Row],[DEC]]/8),表格4_7112[],5,FALSE))</f>
        <v>Burn</v>
      </c>
      <c r="J113" s="147" t="str">
        <f xml:space="preserve"> VLOOKUP(bitand(表格4_711[[#This Row],[DEC]],8-1),表格2[],2,FALSE)</f>
        <v>_IntensityUp</v>
      </c>
      <c r="K113" s="167" t="str">
        <f>CONCATENATE(表格4_711[[#This Row],[反應]],表格4_711[[#This Row],[補正]]," = ",表格4_711[[#This Row],[DEC]],",")</f>
        <v>Burn_IntensityUp = 111,</v>
      </c>
      <c r="L1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燒_強度提昇",</v>
      </c>
    </row>
    <row r="114" spans="2:12" x14ac:dyDescent="0.25">
      <c r="B114" s="99">
        <f t="shared" si="3"/>
        <v>112</v>
      </c>
      <c r="C114" s="125" t="str">
        <f>DEC2BIN(表格4_711[[#This Row],[DEC]]/2^($A$1-COLUMN()),3)</f>
        <v>011</v>
      </c>
      <c r="D114" s="126">
        <f>IF(ISODD( INT(表格4_711[[#This Row],[DEC]]/(2^($A$1-COLUMN())))),1,0)</f>
        <v>1</v>
      </c>
      <c r="E114" s="126">
        <f>IF(ISODD( INT(表格4_711[[#This Row],[DEC]]/(2^($A$1-COLUMN())))),1,0)</f>
        <v>0</v>
      </c>
      <c r="F114" s="127">
        <f>IF(ISODD( INT(表格4_711[[#This Row],[DEC]]/(2^($A$1-COLUMN())))),1,0)</f>
        <v>0</v>
      </c>
      <c r="G114" s="126">
        <f>IF(ISODD( INT(表格4_711[[#This Row],[DEC]]/(2^($A$1-COLUMN())))),1,0)</f>
        <v>0</v>
      </c>
      <c r="H114" s="126">
        <f>IF(ISODD( INT(表格4_711[[#This Row],[DEC]]/(2^($A$1-COLUMN())))),1,0)</f>
        <v>0</v>
      </c>
      <c r="I114" s="192" t="str">
        <f xml:space="preserve"> IF(bitand(表格4_711[[#This Row],[DEC]],7)&lt;1,"//", VLOOKUP(INT(表格4_711[[#This Row],[DEC]]/8),表格4_7112[],5,FALSE))</f>
        <v>//</v>
      </c>
      <c r="J114" s="145" t="str">
        <f xml:space="preserve"> VLOOKUP(bitand(表格4_711[[#This Row],[DEC]],8-1),表格2[],2,FALSE)</f>
        <v/>
      </c>
      <c r="K114" s="144" t="str">
        <f>CONCATENATE(表格4_711[[#This Row],[反應]],表格4_711[[#This Row],[補正]]," = ",表格4_711[[#This Row],[DEC]],",")</f>
        <v>// = 112,</v>
      </c>
      <c r="L11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15" spans="2:12" x14ac:dyDescent="0.25">
      <c r="B115" s="99">
        <f t="shared" si="3"/>
        <v>113</v>
      </c>
      <c r="C115" s="125" t="str">
        <f>DEC2BIN(表格4_711[[#This Row],[DEC]]/2^($A$1-COLUMN()),3)</f>
        <v>011</v>
      </c>
      <c r="D115" s="126">
        <f>IF(ISODD( INT(表格4_711[[#This Row],[DEC]]/(2^($A$1-COLUMN())))),1,0)</f>
        <v>1</v>
      </c>
      <c r="E115" s="126">
        <f>IF(ISODD( INT(表格4_711[[#This Row],[DEC]]/(2^($A$1-COLUMN())))),1,0)</f>
        <v>0</v>
      </c>
      <c r="F115" s="127">
        <f>IF(ISODD( INT(表格4_711[[#This Row],[DEC]]/(2^($A$1-COLUMN())))),1,0)</f>
        <v>0</v>
      </c>
      <c r="G115" s="126">
        <f>IF(ISODD( INT(表格4_711[[#This Row],[DEC]]/(2^($A$1-COLUMN())))),1,0)</f>
        <v>0</v>
      </c>
      <c r="H115" s="126">
        <f>IF(ISODD( INT(表格4_711[[#This Row],[DEC]]/(2^($A$1-COLUMN())))),1,0)</f>
        <v>1</v>
      </c>
      <c r="I115" s="190" t="str">
        <f xml:space="preserve"> IF(bitand(表格4_711[[#This Row],[DEC]],7)&lt;1,"//", VLOOKUP(INT(表格4_711[[#This Row],[DEC]]/8),表格4_7112[],5,FALSE))</f>
        <v>Blind</v>
      </c>
      <c r="J115" s="142" t="str">
        <f xml:space="preserve"> VLOOKUP(bitand(表格4_711[[#This Row],[DEC]],8-1),表格2[],2,FALSE)</f>
        <v/>
      </c>
      <c r="K115" s="142" t="str">
        <f>CONCATENATE(表格4_711[[#This Row],[反應]],表格4_711[[#This Row],[補正]]," = ",表格4_711[[#This Row],[DEC]],",")</f>
        <v>Blind = 113,</v>
      </c>
      <c r="L115" s="14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明",</v>
      </c>
    </row>
    <row r="116" spans="2:12" x14ac:dyDescent="0.25">
      <c r="B116" s="99">
        <f t="shared" si="3"/>
        <v>114</v>
      </c>
      <c r="C116" s="125" t="str">
        <f>DEC2BIN(表格4_711[[#This Row],[DEC]]/2^($A$1-COLUMN()),3)</f>
        <v>011</v>
      </c>
      <c r="D116" s="126">
        <f>IF(ISODD( INT(表格4_711[[#This Row],[DEC]]/(2^($A$1-COLUMN())))),1,0)</f>
        <v>1</v>
      </c>
      <c r="E116" s="126">
        <f>IF(ISODD( INT(表格4_711[[#This Row],[DEC]]/(2^($A$1-COLUMN())))),1,0)</f>
        <v>0</v>
      </c>
      <c r="F116" s="127">
        <f>IF(ISODD( INT(表格4_711[[#This Row],[DEC]]/(2^($A$1-COLUMN())))),1,0)</f>
        <v>0</v>
      </c>
      <c r="G116" s="126">
        <f>IF(ISODD( INT(表格4_711[[#This Row],[DEC]]/(2^($A$1-COLUMN())))),1,0)</f>
        <v>1</v>
      </c>
      <c r="H116" s="126">
        <f>IF(ISODD( INT(表格4_711[[#This Row],[DEC]]/(2^($A$1-COLUMN())))),1,0)</f>
        <v>0</v>
      </c>
      <c r="I116" s="210" t="str">
        <f xml:space="preserve"> IF(bitand(表格4_711[[#This Row],[DEC]],7)&lt;1,"//", VLOOKUP(INT(表格4_711[[#This Row],[DEC]]/8),表格4_7112[],5,FALSE))</f>
        <v>Blind</v>
      </c>
      <c r="J116" s="207" t="str">
        <f xml:space="preserve"> VLOOKUP(bitand(表格4_711[[#This Row],[DEC]],8-1),表格2[],2,FALSE)</f>
        <v>_Clear</v>
      </c>
      <c r="K116" s="167" t="str">
        <f>CONCATENATE(表格4_711[[#This Row],[反應]],表格4_711[[#This Row],[補正]]," = ",表格4_711[[#This Row],[DEC]],",")</f>
        <v>Blind_Clear = 114,</v>
      </c>
      <c r="L1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明_解除",</v>
      </c>
    </row>
    <row r="117" spans="2:12" x14ac:dyDescent="0.25">
      <c r="B117" s="99">
        <f t="shared" si="3"/>
        <v>115</v>
      </c>
      <c r="C117" s="125" t="str">
        <f>DEC2BIN(表格4_711[[#This Row],[DEC]]/2^($A$1-COLUMN()),3)</f>
        <v>011</v>
      </c>
      <c r="D117" s="126">
        <f>IF(ISODD( INT(表格4_711[[#This Row],[DEC]]/(2^($A$1-COLUMN())))),1,0)</f>
        <v>1</v>
      </c>
      <c r="E117" s="126">
        <f>IF(ISODD( INT(表格4_711[[#This Row],[DEC]]/(2^($A$1-COLUMN())))),1,0)</f>
        <v>0</v>
      </c>
      <c r="F117" s="127">
        <f>IF(ISODD( INT(表格4_711[[#This Row],[DEC]]/(2^($A$1-COLUMN())))),1,0)</f>
        <v>0</v>
      </c>
      <c r="G117" s="126">
        <f>IF(ISODD( INT(表格4_711[[#This Row],[DEC]]/(2^($A$1-COLUMN())))),1,0)</f>
        <v>1</v>
      </c>
      <c r="H117" s="126">
        <f>IF(ISODD( INT(表格4_711[[#This Row],[DEC]]/(2^($A$1-COLUMN())))),1,0)</f>
        <v>1</v>
      </c>
      <c r="I117" s="211" t="str">
        <f xml:space="preserve"> IF(bitand(表格4_711[[#This Row],[DEC]],7)&lt;1,"//", VLOOKUP(INT(表格4_711[[#This Row],[DEC]]/8),表格4_7112[],5,FALSE))</f>
        <v>Blind</v>
      </c>
      <c r="J117" s="208" t="str">
        <f xml:space="preserve"> VLOOKUP(bitand(表格4_711[[#This Row],[DEC]],8-1),表格2[],2,FALSE)</f>
        <v>_Spread</v>
      </c>
      <c r="K117" s="167" t="str">
        <f>CONCATENATE(表格4_711[[#This Row],[反應]],表格4_711[[#This Row],[補正]]," = ",表格4_711[[#This Row],[DEC]],",")</f>
        <v>Blind_Spread = 115,</v>
      </c>
      <c r="L1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明_散播",</v>
      </c>
    </row>
    <row r="118" spans="2:12" x14ac:dyDescent="0.25">
      <c r="B118" s="99">
        <f t="shared" si="3"/>
        <v>116</v>
      </c>
      <c r="C118" s="125" t="str">
        <f>DEC2BIN(表格4_711[[#This Row],[DEC]]/2^($A$1-COLUMN()),3)</f>
        <v>011</v>
      </c>
      <c r="D118" s="126">
        <f>IF(ISODD( INT(表格4_711[[#This Row],[DEC]]/(2^($A$1-COLUMN())))),1,0)</f>
        <v>1</v>
      </c>
      <c r="E118" s="126">
        <f>IF(ISODD( INT(表格4_711[[#This Row],[DEC]]/(2^($A$1-COLUMN())))),1,0)</f>
        <v>0</v>
      </c>
      <c r="F118" s="127">
        <f>IF(ISODD( INT(表格4_711[[#This Row],[DEC]]/(2^($A$1-COLUMN())))),1,0)</f>
        <v>1</v>
      </c>
      <c r="G118" s="126">
        <f>IF(ISODD( INT(表格4_711[[#This Row],[DEC]]/(2^($A$1-COLUMN())))),1,0)</f>
        <v>0</v>
      </c>
      <c r="H118" s="126">
        <f>IF(ISODD( INT(表格4_711[[#This Row],[DEC]]/(2^($A$1-COLUMN())))),1,0)</f>
        <v>0</v>
      </c>
      <c r="I118" s="212" t="str">
        <f xml:space="preserve"> IF(bitand(表格4_711[[#This Row],[DEC]],7)&lt;1,"//", VLOOKUP(INT(表格4_711[[#This Row],[DEC]]/8),表格4_7112[],5,FALSE))</f>
        <v>Blind</v>
      </c>
      <c r="J118" s="147" t="str">
        <f xml:space="preserve"> VLOOKUP(bitand(表格4_711[[#This Row],[DEC]],8-1),表格2[],2,FALSE)</f>
        <v>_RangeDown</v>
      </c>
      <c r="K118" s="167" t="str">
        <f>CONCATENATE(表格4_711[[#This Row],[反應]],表格4_711[[#This Row],[補正]]," = ",表格4_711[[#This Row],[DEC]],",")</f>
        <v>Blind_RangeDown = 116,</v>
      </c>
      <c r="L11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明_範圍降低",</v>
      </c>
    </row>
    <row r="119" spans="2:12" x14ac:dyDescent="0.25">
      <c r="B119" s="99">
        <f t="shared" si="3"/>
        <v>117</v>
      </c>
      <c r="C119" s="125" t="str">
        <f>DEC2BIN(表格4_711[[#This Row],[DEC]]/2^($A$1-COLUMN()),3)</f>
        <v>011</v>
      </c>
      <c r="D119" s="126">
        <f>IF(ISODD( INT(表格4_711[[#This Row],[DEC]]/(2^($A$1-COLUMN())))),1,0)</f>
        <v>1</v>
      </c>
      <c r="E119" s="126">
        <f>IF(ISODD( INT(表格4_711[[#This Row],[DEC]]/(2^($A$1-COLUMN())))),1,0)</f>
        <v>0</v>
      </c>
      <c r="F119" s="127">
        <f>IF(ISODD( INT(表格4_711[[#This Row],[DEC]]/(2^($A$1-COLUMN())))),1,0)</f>
        <v>1</v>
      </c>
      <c r="G119" s="126">
        <f>IF(ISODD( INT(表格4_711[[#This Row],[DEC]]/(2^($A$1-COLUMN())))),1,0)</f>
        <v>0</v>
      </c>
      <c r="H119" s="126">
        <f>IF(ISODD( INT(表格4_711[[#This Row],[DEC]]/(2^($A$1-COLUMN())))),1,0)</f>
        <v>1</v>
      </c>
      <c r="I119" s="212" t="str">
        <f xml:space="preserve"> IF(bitand(表格4_711[[#This Row],[DEC]],7)&lt;1,"//", VLOOKUP(INT(表格4_711[[#This Row],[DEC]]/8),表格4_7112[],5,FALSE))</f>
        <v>Blind</v>
      </c>
      <c r="J119" s="147" t="str">
        <f xml:space="preserve"> VLOOKUP(bitand(表格4_711[[#This Row],[DEC]],8-1),表格2[],2,FALSE)</f>
        <v>_RangeUP</v>
      </c>
      <c r="K119" s="167" t="str">
        <f>CONCATENATE(表格4_711[[#This Row],[反應]],表格4_711[[#This Row],[補正]]," = ",表格4_711[[#This Row],[DEC]],",")</f>
        <v>Blind_RangeUP = 117,</v>
      </c>
      <c r="L11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明_範圍提昇",</v>
      </c>
    </row>
    <row r="120" spans="2:12" x14ac:dyDescent="0.25">
      <c r="B120" s="99">
        <f t="shared" si="3"/>
        <v>118</v>
      </c>
      <c r="C120" s="125" t="str">
        <f>DEC2BIN(表格4_711[[#This Row],[DEC]]/2^($A$1-COLUMN()),3)</f>
        <v>011</v>
      </c>
      <c r="D120" s="126">
        <f>IF(ISODD( INT(表格4_711[[#This Row],[DEC]]/(2^($A$1-COLUMN())))),1,0)</f>
        <v>1</v>
      </c>
      <c r="E120" s="126">
        <f>IF(ISODD( INT(表格4_711[[#This Row],[DEC]]/(2^($A$1-COLUMN())))),1,0)</f>
        <v>0</v>
      </c>
      <c r="F120" s="127">
        <f>IF(ISODD( INT(表格4_711[[#This Row],[DEC]]/(2^($A$1-COLUMN())))),1,0)</f>
        <v>1</v>
      </c>
      <c r="G120" s="126">
        <f>IF(ISODD( INT(表格4_711[[#This Row],[DEC]]/(2^($A$1-COLUMN())))),1,0)</f>
        <v>1</v>
      </c>
      <c r="H120" s="126">
        <f>IF(ISODD( INT(表格4_711[[#This Row],[DEC]]/(2^($A$1-COLUMN())))),1,0)</f>
        <v>0</v>
      </c>
      <c r="I120" s="212" t="str">
        <f xml:space="preserve"> IF(bitand(表格4_711[[#This Row],[DEC]],7)&lt;1,"//", VLOOKUP(INT(表格4_711[[#This Row],[DEC]]/8),表格4_7112[],5,FALSE))</f>
        <v>Blind</v>
      </c>
      <c r="J120" s="147" t="str">
        <f xml:space="preserve"> VLOOKUP(bitand(表格4_711[[#This Row],[DEC]],8-1),表格2[],2,FALSE)</f>
        <v>_IntensityDown</v>
      </c>
      <c r="K120" s="167" t="str">
        <f>CONCATENATE(表格4_711[[#This Row],[反應]],表格4_711[[#This Row],[補正]]," = ",表格4_711[[#This Row],[DEC]],",")</f>
        <v>Blind_IntensityDown = 118,</v>
      </c>
      <c r="L1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明_強度降低",</v>
      </c>
    </row>
    <row r="121" spans="2:12" x14ac:dyDescent="0.25">
      <c r="B121" s="99">
        <f t="shared" si="3"/>
        <v>119</v>
      </c>
      <c r="C121" s="125" t="str">
        <f>DEC2BIN(表格4_711[[#This Row],[DEC]]/2^($A$1-COLUMN()),3)</f>
        <v>011</v>
      </c>
      <c r="D121" s="126">
        <f>IF(ISODD( INT(表格4_711[[#This Row],[DEC]]/(2^($A$1-COLUMN())))),1,0)</f>
        <v>1</v>
      </c>
      <c r="E121" s="126">
        <f>IF(ISODD( INT(表格4_711[[#This Row],[DEC]]/(2^($A$1-COLUMN())))),1,0)</f>
        <v>0</v>
      </c>
      <c r="F121" s="127">
        <f>IF(ISODD( INT(表格4_711[[#This Row],[DEC]]/(2^($A$1-COLUMN())))),1,0)</f>
        <v>1</v>
      </c>
      <c r="G121" s="126">
        <f>IF(ISODD( INT(表格4_711[[#This Row],[DEC]]/(2^($A$1-COLUMN())))),1,0)</f>
        <v>1</v>
      </c>
      <c r="H121" s="126">
        <f>IF(ISODD( INT(表格4_711[[#This Row],[DEC]]/(2^($A$1-COLUMN())))),1,0)</f>
        <v>1</v>
      </c>
      <c r="I121" s="212" t="str">
        <f xml:space="preserve"> IF(bitand(表格4_711[[#This Row],[DEC]],7)&lt;1,"//", VLOOKUP(INT(表格4_711[[#This Row],[DEC]]/8),表格4_7112[],5,FALSE))</f>
        <v>Blind</v>
      </c>
      <c r="J121" s="147" t="str">
        <f xml:space="preserve"> VLOOKUP(bitand(表格4_711[[#This Row],[DEC]],8-1),表格2[],2,FALSE)</f>
        <v>_IntensityUp</v>
      </c>
      <c r="K121" s="167" t="str">
        <f>CONCATENATE(表格4_711[[#This Row],[反應]],表格4_711[[#This Row],[補正]]," = ",表格4_711[[#This Row],[DEC]],",")</f>
        <v>Blind_IntensityUp = 119,</v>
      </c>
      <c r="L1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明_強度提昇",</v>
      </c>
    </row>
    <row r="122" spans="2:12" x14ac:dyDescent="0.25">
      <c r="B122" s="99">
        <f t="shared" si="3"/>
        <v>120</v>
      </c>
      <c r="C122" s="125" t="str">
        <f>DEC2BIN(表格4_711[[#This Row],[DEC]]/2^($A$1-COLUMN()),3)</f>
        <v>011</v>
      </c>
      <c r="D122" s="126">
        <f>IF(ISODD( INT(表格4_711[[#This Row],[DEC]]/(2^($A$1-COLUMN())))),1,0)</f>
        <v>1</v>
      </c>
      <c r="E122" s="126">
        <f>IF(ISODD( INT(表格4_711[[#This Row],[DEC]]/(2^($A$1-COLUMN())))),1,0)</f>
        <v>1</v>
      </c>
      <c r="F122" s="127">
        <f>IF(ISODD( INT(表格4_711[[#This Row],[DEC]]/(2^($A$1-COLUMN())))),1,0)</f>
        <v>0</v>
      </c>
      <c r="G122" s="126">
        <f>IF(ISODD( INT(表格4_711[[#This Row],[DEC]]/(2^($A$1-COLUMN())))),1,0)</f>
        <v>0</v>
      </c>
      <c r="H122" s="126">
        <f>IF(ISODD( INT(表格4_711[[#This Row],[DEC]]/(2^($A$1-COLUMN())))),1,0)</f>
        <v>0</v>
      </c>
      <c r="I122" s="192" t="str">
        <f xml:space="preserve"> IF(bitand(表格4_711[[#This Row],[DEC]],7)&lt;1,"//", VLOOKUP(INT(表格4_711[[#This Row],[DEC]]/8),表格4_7112[],5,FALSE))</f>
        <v>//</v>
      </c>
      <c r="J122" s="145" t="str">
        <f xml:space="preserve"> VLOOKUP(bitand(表格4_711[[#This Row],[DEC]],8-1),表格2[],2,FALSE)</f>
        <v/>
      </c>
      <c r="K122" s="144" t="str">
        <f>CONCATENATE(表格4_711[[#This Row],[反應]],表格4_711[[#This Row],[補正]]," = ",表格4_711[[#This Row],[DEC]],",")</f>
        <v>// = 120,</v>
      </c>
      <c r="L12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23" spans="2:12" x14ac:dyDescent="0.25">
      <c r="B123" s="99">
        <f t="shared" si="3"/>
        <v>121</v>
      </c>
      <c r="C123" s="125" t="str">
        <f>DEC2BIN(表格4_711[[#This Row],[DEC]]/2^($A$1-COLUMN()),3)</f>
        <v>011</v>
      </c>
      <c r="D123" s="126">
        <f>IF(ISODD( INT(表格4_711[[#This Row],[DEC]]/(2^($A$1-COLUMN())))),1,0)</f>
        <v>1</v>
      </c>
      <c r="E123" s="126">
        <f>IF(ISODD( INT(表格4_711[[#This Row],[DEC]]/(2^($A$1-COLUMN())))),1,0)</f>
        <v>1</v>
      </c>
      <c r="F123" s="127">
        <f>IF(ISODD( INT(表格4_711[[#This Row],[DEC]]/(2^($A$1-COLUMN())))),1,0)</f>
        <v>0</v>
      </c>
      <c r="G123" s="126">
        <f>IF(ISODD( INT(表格4_711[[#This Row],[DEC]]/(2^($A$1-COLUMN())))),1,0)</f>
        <v>0</v>
      </c>
      <c r="H123" s="126">
        <f>IF(ISODD( INT(表格4_711[[#This Row],[DEC]]/(2^($A$1-COLUMN())))),1,0)</f>
        <v>1</v>
      </c>
      <c r="I123" s="191" t="str">
        <f xml:space="preserve"> IF(bitand(表格4_711[[#This Row],[DEC]],7)&lt;1,"//", VLOOKUP(INT(表格4_711[[#This Row],[DEC]]/8),表格4_7112[],5,FALSE))</f>
        <v>Scald</v>
      </c>
      <c r="J123" s="143" t="str">
        <f xml:space="preserve"> VLOOKUP(bitand(表格4_711[[#This Row],[DEC]],8-1),表格2[],2,FALSE)</f>
        <v/>
      </c>
      <c r="K123" s="143" t="str">
        <f>CONCATENATE(表格4_711[[#This Row],[反應]],表格4_711[[#This Row],[補正]]," = ",表格4_711[[#This Row],[DEC]],",")</f>
        <v>Scald = 121,</v>
      </c>
      <c r="L123" s="14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傷",</v>
      </c>
    </row>
    <row r="124" spans="2:12" x14ac:dyDescent="0.25">
      <c r="B124" s="99">
        <f t="shared" si="3"/>
        <v>122</v>
      </c>
      <c r="C124" s="125" t="str">
        <f>DEC2BIN(表格4_711[[#This Row],[DEC]]/2^($A$1-COLUMN()),3)</f>
        <v>011</v>
      </c>
      <c r="D124" s="126">
        <f>IF(ISODD( INT(表格4_711[[#This Row],[DEC]]/(2^($A$1-COLUMN())))),1,0)</f>
        <v>1</v>
      </c>
      <c r="E124" s="126">
        <f>IF(ISODD( INT(表格4_711[[#This Row],[DEC]]/(2^($A$1-COLUMN())))),1,0)</f>
        <v>1</v>
      </c>
      <c r="F124" s="127">
        <f>IF(ISODD( INT(表格4_711[[#This Row],[DEC]]/(2^($A$1-COLUMN())))),1,0)</f>
        <v>0</v>
      </c>
      <c r="G124" s="126">
        <f>IF(ISODD( INT(表格4_711[[#This Row],[DEC]]/(2^($A$1-COLUMN())))),1,0)</f>
        <v>1</v>
      </c>
      <c r="H124" s="126">
        <f>IF(ISODD( INT(表格4_711[[#This Row],[DEC]]/(2^($A$1-COLUMN())))),1,0)</f>
        <v>0</v>
      </c>
      <c r="I124" s="210" t="str">
        <f xml:space="preserve"> IF(bitand(表格4_711[[#This Row],[DEC]],7)&lt;1,"//", VLOOKUP(INT(表格4_711[[#This Row],[DEC]]/8),表格4_7112[],5,FALSE))</f>
        <v>Scald</v>
      </c>
      <c r="J124" s="207" t="str">
        <f xml:space="preserve"> VLOOKUP(bitand(表格4_711[[#This Row],[DEC]],8-1),表格2[],2,FALSE)</f>
        <v>_Clear</v>
      </c>
      <c r="K124" s="167" t="str">
        <f>CONCATENATE(表格4_711[[#This Row],[反應]],表格4_711[[#This Row],[補正]]," = ",表格4_711[[#This Row],[DEC]],",")</f>
        <v>Scald_Clear = 122,</v>
      </c>
      <c r="L1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傷_解除",</v>
      </c>
    </row>
    <row r="125" spans="2:12" x14ac:dyDescent="0.25">
      <c r="B125" s="99">
        <f t="shared" si="3"/>
        <v>123</v>
      </c>
      <c r="C125" s="125" t="str">
        <f>DEC2BIN(表格4_711[[#This Row],[DEC]]/2^($A$1-COLUMN()),3)</f>
        <v>011</v>
      </c>
      <c r="D125" s="126">
        <f>IF(ISODD( INT(表格4_711[[#This Row],[DEC]]/(2^($A$1-COLUMN())))),1,0)</f>
        <v>1</v>
      </c>
      <c r="E125" s="126">
        <f>IF(ISODD( INT(表格4_711[[#This Row],[DEC]]/(2^($A$1-COLUMN())))),1,0)</f>
        <v>1</v>
      </c>
      <c r="F125" s="127">
        <f>IF(ISODD( INT(表格4_711[[#This Row],[DEC]]/(2^($A$1-COLUMN())))),1,0)</f>
        <v>0</v>
      </c>
      <c r="G125" s="126">
        <f>IF(ISODD( INT(表格4_711[[#This Row],[DEC]]/(2^($A$1-COLUMN())))),1,0)</f>
        <v>1</v>
      </c>
      <c r="H125" s="126">
        <f>IF(ISODD( INT(表格4_711[[#This Row],[DEC]]/(2^($A$1-COLUMN())))),1,0)</f>
        <v>1</v>
      </c>
      <c r="I125" s="211" t="str">
        <f xml:space="preserve"> IF(bitand(表格4_711[[#This Row],[DEC]],7)&lt;1,"//", VLOOKUP(INT(表格4_711[[#This Row],[DEC]]/8),表格4_7112[],5,FALSE))</f>
        <v>Scald</v>
      </c>
      <c r="J125" s="208" t="str">
        <f xml:space="preserve"> VLOOKUP(bitand(表格4_711[[#This Row],[DEC]],8-1),表格2[],2,FALSE)</f>
        <v>_Spread</v>
      </c>
      <c r="K125" s="167" t="str">
        <f>CONCATENATE(表格4_711[[#This Row],[反應]],表格4_711[[#This Row],[補正]]," = ",表格4_711[[#This Row],[DEC]],",")</f>
        <v>Scald_Spread = 123,</v>
      </c>
      <c r="L1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傷_散播",</v>
      </c>
    </row>
    <row r="126" spans="2:12" x14ac:dyDescent="0.25">
      <c r="B126" s="99">
        <f t="shared" si="3"/>
        <v>124</v>
      </c>
      <c r="C126" s="125" t="str">
        <f>DEC2BIN(表格4_711[[#This Row],[DEC]]/2^($A$1-COLUMN()),3)</f>
        <v>011</v>
      </c>
      <c r="D126" s="126">
        <f>IF(ISODD( INT(表格4_711[[#This Row],[DEC]]/(2^($A$1-COLUMN())))),1,0)</f>
        <v>1</v>
      </c>
      <c r="E126" s="126">
        <f>IF(ISODD( INT(表格4_711[[#This Row],[DEC]]/(2^($A$1-COLUMN())))),1,0)</f>
        <v>1</v>
      </c>
      <c r="F126" s="127">
        <f>IF(ISODD( INT(表格4_711[[#This Row],[DEC]]/(2^($A$1-COLUMN())))),1,0)</f>
        <v>1</v>
      </c>
      <c r="G126" s="126">
        <f>IF(ISODD( INT(表格4_711[[#This Row],[DEC]]/(2^($A$1-COLUMN())))),1,0)</f>
        <v>0</v>
      </c>
      <c r="H126" s="126">
        <f>IF(ISODD( INT(表格4_711[[#This Row],[DEC]]/(2^($A$1-COLUMN())))),1,0)</f>
        <v>0</v>
      </c>
      <c r="I126" s="212" t="str">
        <f xml:space="preserve"> IF(bitand(表格4_711[[#This Row],[DEC]],7)&lt;1,"//", VLOOKUP(INT(表格4_711[[#This Row],[DEC]]/8),表格4_7112[],5,FALSE))</f>
        <v>Scald</v>
      </c>
      <c r="J126" s="147" t="str">
        <f xml:space="preserve"> VLOOKUP(bitand(表格4_711[[#This Row],[DEC]],8-1),表格2[],2,FALSE)</f>
        <v>_RangeDown</v>
      </c>
      <c r="K126" s="167" t="str">
        <f>CONCATENATE(表格4_711[[#This Row],[反應]],表格4_711[[#This Row],[補正]]," = ",表格4_711[[#This Row],[DEC]],",")</f>
        <v>Scald_RangeDown = 124,</v>
      </c>
      <c r="L12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傷_範圍降低",</v>
      </c>
    </row>
    <row r="127" spans="2:12" x14ac:dyDescent="0.25">
      <c r="B127" s="99">
        <f t="shared" si="3"/>
        <v>125</v>
      </c>
      <c r="C127" s="125" t="str">
        <f>DEC2BIN(表格4_711[[#This Row],[DEC]]/2^($A$1-COLUMN()),3)</f>
        <v>011</v>
      </c>
      <c r="D127" s="126">
        <f>IF(ISODD( INT(表格4_711[[#This Row],[DEC]]/(2^($A$1-COLUMN())))),1,0)</f>
        <v>1</v>
      </c>
      <c r="E127" s="126">
        <f>IF(ISODD( INT(表格4_711[[#This Row],[DEC]]/(2^($A$1-COLUMN())))),1,0)</f>
        <v>1</v>
      </c>
      <c r="F127" s="127">
        <f>IF(ISODD( INT(表格4_711[[#This Row],[DEC]]/(2^($A$1-COLUMN())))),1,0)</f>
        <v>1</v>
      </c>
      <c r="G127" s="126">
        <f>IF(ISODD( INT(表格4_711[[#This Row],[DEC]]/(2^($A$1-COLUMN())))),1,0)</f>
        <v>0</v>
      </c>
      <c r="H127" s="126">
        <f>IF(ISODD( INT(表格4_711[[#This Row],[DEC]]/(2^($A$1-COLUMN())))),1,0)</f>
        <v>1</v>
      </c>
      <c r="I127" s="212" t="str">
        <f xml:space="preserve"> IF(bitand(表格4_711[[#This Row],[DEC]],7)&lt;1,"//", VLOOKUP(INT(表格4_711[[#This Row],[DEC]]/8),表格4_7112[],5,FALSE))</f>
        <v>Scald</v>
      </c>
      <c r="J127" s="147" t="str">
        <f xml:space="preserve"> VLOOKUP(bitand(表格4_711[[#This Row],[DEC]],8-1),表格2[],2,FALSE)</f>
        <v>_RangeUP</v>
      </c>
      <c r="K127" s="167" t="str">
        <f>CONCATENATE(表格4_711[[#This Row],[反應]],表格4_711[[#This Row],[補正]]," = ",表格4_711[[#This Row],[DEC]],",")</f>
        <v>Scald_RangeUP = 125,</v>
      </c>
      <c r="L12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傷_範圍提昇",</v>
      </c>
    </row>
    <row r="128" spans="2:12" x14ac:dyDescent="0.25">
      <c r="B128" s="99">
        <f t="shared" si="3"/>
        <v>126</v>
      </c>
      <c r="C128" s="125" t="str">
        <f>DEC2BIN(表格4_711[[#This Row],[DEC]]/2^($A$1-COLUMN()),3)</f>
        <v>011</v>
      </c>
      <c r="D128" s="126">
        <f>IF(ISODD( INT(表格4_711[[#This Row],[DEC]]/(2^($A$1-COLUMN())))),1,0)</f>
        <v>1</v>
      </c>
      <c r="E128" s="126">
        <f>IF(ISODD( INT(表格4_711[[#This Row],[DEC]]/(2^($A$1-COLUMN())))),1,0)</f>
        <v>1</v>
      </c>
      <c r="F128" s="127">
        <f>IF(ISODD( INT(表格4_711[[#This Row],[DEC]]/(2^($A$1-COLUMN())))),1,0)</f>
        <v>1</v>
      </c>
      <c r="G128" s="126">
        <f>IF(ISODD( INT(表格4_711[[#This Row],[DEC]]/(2^($A$1-COLUMN())))),1,0)</f>
        <v>1</v>
      </c>
      <c r="H128" s="126">
        <f>IF(ISODD( INT(表格4_711[[#This Row],[DEC]]/(2^($A$1-COLUMN())))),1,0)</f>
        <v>0</v>
      </c>
      <c r="I128" s="212" t="str">
        <f xml:space="preserve"> IF(bitand(表格4_711[[#This Row],[DEC]],7)&lt;1,"//", VLOOKUP(INT(表格4_711[[#This Row],[DEC]]/8),表格4_7112[],5,FALSE))</f>
        <v>Scald</v>
      </c>
      <c r="J128" s="147" t="str">
        <f xml:space="preserve"> VLOOKUP(bitand(表格4_711[[#This Row],[DEC]],8-1),表格2[],2,FALSE)</f>
        <v>_IntensityDown</v>
      </c>
      <c r="K128" s="167" t="str">
        <f>CONCATENATE(表格4_711[[#This Row],[反應]],表格4_711[[#This Row],[補正]]," = ",表格4_711[[#This Row],[DEC]],",")</f>
        <v>Scald_IntensityDown = 126,</v>
      </c>
      <c r="L1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傷_強度降低",</v>
      </c>
    </row>
    <row r="129" spans="2:12" x14ac:dyDescent="0.25">
      <c r="B129" s="99">
        <f t="shared" si="3"/>
        <v>127</v>
      </c>
      <c r="C129" s="125" t="str">
        <f>DEC2BIN(表格4_711[[#This Row],[DEC]]/2^($A$1-COLUMN()),3)</f>
        <v>011</v>
      </c>
      <c r="D129" s="126">
        <f>IF(ISODD( INT(表格4_711[[#This Row],[DEC]]/(2^($A$1-COLUMN())))),1,0)</f>
        <v>1</v>
      </c>
      <c r="E129" s="126">
        <f>IF(ISODD( INT(表格4_711[[#This Row],[DEC]]/(2^($A$1-COLUMN())))),1,0)</f>
        <v>1</v>
      </c>
      <c r="F129" s="127">
        <f>IF(ISODD( INT(表格4_711[[#This Row],[DEC]]/(2^($A$1-COLUMN())))),1,0)</f>
        <v>1</v>
      </c>
      <c r="G129" s="126">
        <f>IF(ISODD( INT(表格4_711[[#This Row],[DEC]]/(2^($A$1-COLUMN())))),1,0)</f>
        <v>1</v>
      </c>
      <c r="H129" s="126">
        <f>IF(ISODD( INT(表格4_711[[#This Row],[DEC]]/(2^($A$1-COLUMN())))),1,0)</f>
        <v>1</v>
      </c>
      <c r="I129" s="212" t="str">
        <f xml:space="preserve"> IF(bitand(表格4_711[[#This Row],[DEC]],7)&lt;1,"//", VLOOKUP(INT(表格4_711[[#This Row],[DEC]]/8),表格4_7112[],5,FALSE))</f>
        <v>Scald</v>
      </c>
      <c r="J129" s="147" t="str">
        <f xml:space="preserve"> VLOOKUP(bitand(表格4_711[[#This Row],[DEC]],8-1),表格2[],2,FALSE)</f>
        <v>_IntensityUp</v>
      </c>
      <c r="K129" s="167" t="str">
        <f>CONCATENATE(表格4_711[[#This Row],[反應]],表格4_711[[#This Row],[補正]]," = ",表格4_711[[#This Row],[DEC]],",")</f>
        <v>Scald_IntensityUp = 127,</v>
      </c>
      <c r="L1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傷_強度提昇",</v>
      </c>
    </row>
    <row r="130" spans="2:12" x14ac:dyDescent="0.25">
      <c r="B130" s="99">
        <f t="shared" ref="B130:B151" si="4">ROW()-2</f>
        <v>128</v>
      </c>
      <c r="C130" s="125" t="str">
        <f>DEC2BIN(表格4_711[[#This Row],[DEC]]/2^($A$1-COLUMN()),3)</f>
        <v>100</v>
      </c>
      <c r="D130" s="126">
        <f>IF(ISODD( INT(表格4_711[[#This Row],[DEC]]/(2^($A$1-COLUMN())))),1,0)</f>
        <v>0</v>
      </c>
      <c r="E130" s="126">
        <f>IF(ISODD( INT(表格4_711[[#This Row],[DEC]]/(2^($A$1-COLUMN())))),1,0)</f>
        <v>0</v>
      </c>
      <c r="F130" s="127">
        <f>IF(ISODD( INT(表格4_711[[#This Row],[DEC]]/(2^($A$1-COLUMN())))),1,0)</f>
        <v>0</v>
      </c>
      <c r="G130" s="126">
        <f>IF(ISODD( INT(表格4_711[[#This Row],[DEC]]/(2^($A$1-COLUMN())))),1,0)</f>
        <v>0</v>
      </c>
      <c r="H130" s="126">
        <f>IF(ISODD( INT(表格4_711[[#This Row],[DEC]]/(2^($A$1-COLUMN())))),1,0)</f>
        <v>0</v>
      </c>
      <c r="I130" s="192" t="str">
        <f xml:space="preserve"> IF(bitand(表格4_711[[#This Row],[DEC]],7)&lt;1,"//", VLOOKUP(INT(表格4_711[[#This Row],[DEC]]/8),表格4_7112[],5,FALSE))</f>
        <v>//</v>
      </c>
      <c r="J130" s="145" t="str">
        <f xml:space="preserve"> VLOOKUP(bitand(表格4_711[[#This Row],[DEC]],8-1),表格2[],2,FALSE)</f>
        <v/>
      </c>
      <c r="K130" s="144" t="str">
        <f>CONCATENATE(表格4_711[[#This Row],[反應]],表格4_711[[#This Row],[補正]]," = ",表格4_711[[#This Row],[DEC]],",")</f>
        <v>// = 128,</v>
      </c>
      <c r="L13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31" spans="2:12" x14ac:dyDescent="0.25">
      <c r="B131" s="99">
        <f t="shared" si="4"/>
        <v>129</v>
      </c>
      <c r="C131" s="125" t="str">
        <f>DEC2BIN(表格4_711[[#This Row],[DEC]]/2^($A$1-COLUMN()),3)</f>
        <v>100</v>
      </c>
      <c r="D131" s="126">
        <f>IF(ISODD( INT(表格4_711[[#This Row],[DEC]]/(2^($A$1-COLUMN())))),1,0)</f>
        <v>0</v>
      </c>
      <c r="E131" s="126">
        <f>IF(ISODD( INT(表格4_711[[#This Row],[DEC]]/(2^($A$1-COLUMN())))),1,0)</f>
        <v>0</v>
      </c>
      <c r="F131" s="127">
        <f>IF(ISODD( INT(表格4_711[[#This Row],[DEC]]/(2^($A$1-COLUMN())))),1,0)</f>
        <v>0</v>
      </c>
      <c r="G131" s="126">
        <f>IF(ISODD( INT(表格4_711[[#This Row],[DEC]]/(2^($A$1-COLUMN())))),1,0)</f>
        <v>0</v>
      </c>
      <c r="H131" s="126">
        <f>IF(ISODD( INT(表格4_711[[#This Row],[DEC]]/(2^($A$1-COLUMN())))),1,0)</f>
        <v>1</v>
      </c>
      <c r="I131" s="176" t="str">
        <f xml:space="preserve"> IF(bitand(表格4_711[[#This Row],[DEC]],7)&lt;1,"//", VLOOKUP(INT(表格4_711[[#This Row],[DEC]]/8),表格4_7112[],5,FALSE))</f>
        <v>Slow</v>
      </c>
      <c r="J131" s="130" t="str">
        <f xml:space="preserve"> VLOOKUP(bitand(表格4_711[[#This Row],[DEC]],8-1),表格2[],2,FALSE)</f>
        <v/>
      </c>
      <c r="K131" s="130" t="str">
        <f>CONCATENATE(表格4_711[[#This Row],[反應]],表格4_711[[#This Row],[補正]]," = ",表格4_711[[#This Row],[DEC]],",")</f>
        <v>Slow = 129,</v>
      </c>
      <c r="L131" s="13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慢",</v>
      </c>
    </row>
    <row r="132" spans="2:12" x14ac:dyDescent="0.25">
      <c r="B132" s="99">
        <f t="shared" si="4"/>
        <v>130</v>
      </c>
      <c r="C132" s="125" t="str">
        <f>DEC2BIN(表格4_711[[#This Row],[DEC]]/2^($A$1-COLUMN()),3)</f>
        <v>100</v>
      </c>
      <c r="D132" s="126">
        <f>IF(ISODD( INT(表格4_711[[#This Row],[DEC]]/(2^($A$1-COLUMN())))),1,0)</f>
        <v>0</v>
      </c>
      <c r="E132" s="126">
        <f>IF(ISODD( INT(表格4_711[[#This Row],[DEC]]/(2^($A$1-COLUMN())))),1,0)</f>
        <v>0</v>
      </c>
      <c r="F132" s="127">
        <f>IF(ISODD( INT(表格4_711[[#This Row],[DEC]]/(2^($A$1-COLUMN())))),1,0)</f>
        <v>0</v>
      </c>
      <c r="G132" s="126">
        <f>IF(ISODD( INT(表格4_711[[#This Row],[DEC]]/(2^($A$1-COLUMN())))),1,0)</f>
        <v>1</v>
      </c>
      <c r="H132" s="126">
        <f>IF(ISODD( INT(表格4_711[[#This Row],[DEC]]/(2^($A$1-COLUMN())))),1,0)</f>
        <v>0</v>
      </c>
      <c r="I132" s="210" t="str">
        <f xml:space="preserve"> IF(bitand(表格4_711[[#This Row],[DEC]],7)&lt;1,"//", VLOOKUP(INT(表格4_711[[#This Row],[DEC]]/8),表格4_7112[],5,FALSE))</f>
        <v>Slow</v>
      </c>
      <c r="J132" s="207" t="str">
        <f xml:space="preserve"> VLOOKUP(bitand(表格4_711[[#This Row],[DEC]],8-1),表格2[],2,FALSE)</f>
        <v>_Clear</v>
      </c>
      <c r="K132" s="167" t="str">
        <f>CONCATENATE(表格4_711[[#This Row],[反應]],表格4_711[[#This Row],[補正]]," = ",表格4_711[[#This Row],[DEC]],",")</f>
        <v>Slow_Clear = 130,</v>
      </c>
      <c r="L1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慢_解除",</v>
      </c>
    </row>
    <row r="133" spans="2:12" x14ac:dyDescent="0.25">
      <c r="B133" s="99">
        <f t="shared" si="4"/>
        <v>131</v>
      </c>
      <c r="C133" s="125" t="str">
        <f>DEC2BIN(表格4_711[[#This Row],[DEC]]/2^($A$1-COLUMN()),3)</f>
        <v>100</v>
      </c>
      <c r="D133" s="126">
        <f>IF(ISODD( INT(表格4_711[[#This Row],[DEC]]/(2^($A$1-COLUMN())))),1,0)</f>
        <v>0</v>
      </c>
      <c r="E133" s="126">
        <f>IF(ISODD( INT(表格4_711[[#This Row],[DEC]]/(2^($A$1-COLUMN())))),1,0)</f>
        <v>0</v>
      </c>
      <c r="F133" s="127">
        <f>IF(ISODD( INT(表格4_711[[#This Row],[DEC]]/(2^($A$1-COLUMN())))),1,0)</f>
        <v>0</v>
      </c>
      <c r="G133" s="126">
        <f>IF(ISODD( INT(表格4_711[[#This Row],[DEC]]/(2^($A$1-COLUMN())))),1,0)</f>
        <v>1</v>
      </c>
      <c r="H133" s="126">
        <f>IF(ISODD( INT(表格4_711[[#This Row],[DEC]]/(2^($A$1-COLUMN())))),1,0)</f>
        <v>1</v>
      </c>
      <c r="I133" s="211" t="str">
        <f xml:space="preserve"> IF(bitand(表格4_711[[#This Row],[DEC]],7)&lt;1,"//", VLOOKUP(INT(表格4_711[[#This Row],[DEC]]/8),表格4_7112[],5,FALSE))</f>
        <v>Slow</v>
      </c>
      <c r="J133" s="208" t="str">
        <f xml:space="preserve"> VLOOKUP(bitand(表格4_711[[#This Row],[DEC]],8-1),表格2[],2,FALSE)</f>
        <v>_Spread</v>
      </c>
      <c r="K133" s="167" t="str">
        <f>CONCATENATE(表格4_711[[#This Row],[反應]],表格4_711[[#This Row],[補正]]," = ",表格4_711[[#This Row],[DEC]],",")</f>
        <v>Slow_Spread = 131,</v>
      </c>
      <c r="L1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慢_散播",</v>
      </c>
    </row>
    <row r="134" spans="2:12" x14ac:dyDescent="0.25">
      <c r="B134" s="99">
        <f t="shared" si="4"/>
        <v>132</v>
      </c>
      <c r="C134" s="125" t="str">
        <f>DEC2BIN(表格4_711[[#This Row],[DEC]]/2^($A$1-COLUMN()),3)</f>
        <v>100</v>
      </c>
      <c r="D134" s="126">
        <f>IF(ISODD( INT(表格4_711[[#This Row],[DEC]]/(2^($A$1-COLUMN())))),1,0)</f>
        <v>0</v>
      </c>
      <c r="E134" s="126">
        <f>IF(ISODD( INT(表格4_711[[#This Row],[DEC]]/(2^($A$1-COLUMN())))),1,0)</f>
        <v>0</v>
      </c>
      <c r="F134" s="127">
        <f>IF(ISODD( INT(表格4_711[[#This Row],[DEC]]/(2^($A$1-COLUMN())))),1,0)</f>
        <v>1</v>
      </c>
      <c r="G134" s="126">
        <f>IF(ISODD( INT(表格4_711[[#This Row],[DEC]]/(2^($A$1-COLUMN())))),1,0)</f>
        <v>0</v>
      </c>
      <c r="H134" s="126">
        <f>IF(ISODD( INT(表格4_711[[#This Row],[DEC]]/(2^($A$1-COLUMN())))),1,0)</f>
        <v>0</v>
      </c>
      <c r="I134" s="212" t="str">
        <f xml:space="preserve"> IF(bitand(表格4_711[[#This Row],[DEC]],7)&lt;1,"//", VLOOKUP(INT(表格4_711[[#This Row],[DEC]]/8),表格4_7112[],5,FALSE))</f>
        <v>Slow</v>
      </c>
      <c r="J134" s="147" t="str">
        <f xml:space="preserve"> VLOOKUP(bitand(表格4_711[[#This Row],[DEC]],8-1),表格2[],2,FALSE)</f>
        <v>_RangeDown</v>
      </c>
      <c r="K134" s="167" t="str">
        <f>CONCATENATE(表格4_711[[#This Row],[反應]],表格4_711[[#This Row],[補正]]," = ",表格4_711[[#This Row],[DEC]],",")</f>
        <v>Slow_RangeDown = 132,</v>
      </c>
      <c r="L13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慢_範圍降低",</v>
      </c>
    </row>
    <row r="135" spans="2:12" x14ac:dyDescent="0.25">
      <c r="B135" s="99">
        <f t="shared" si="4"/>
        <v>133</v>
      </c>
      <c r="C135" s="125" t="str">
        <f>DEC2BIN(表格4_711[[#This Row],[DEC]]/2^($A$1-COLUMN()),3)</f>
        <v>100</v>
      </c>
      <c r="D135" s="126">
        <f>IF(ISODD( INT(表格4_711[[#This Row],[DEC]]/(2^($A$1-COLUMN())))),1,0)</f>
        <v>0</v>
      </c>
      <c r="E135" s="126">
        <f>IF(ISODD( INT(表格4_711[[#This Row],[DEC]]/(2^($A$1-COLUMN())))),1,0)</f>
        <v>0</v>
      </c>
      <c r="F135" s="127">
        <f>IF(ISODD( INT(表格4_711[[#This Row],[DEC]]/(2^($A$1-COLUMN())))),1,0)</f>
        <v>1</v>
      </c>
      <c r="G135" s="126">
        <f>IF(ISODD( INT(表格4_711[[#This Row],[DEC]]/(2^($A$1-COLUMN())))),1,0)</f>
        <v>0</v>
      </c>
      <c r="H135" s="126">
        <f>IF(ISODD( INT(表格4_711[[#This Row],[DEC]]/(2^($A$1-COLUMN())))),1,0)</f>
        <v>1</v>
      </c>
      <c r="I135" s="212" t="str">
        <f xml:space="preserve"> IF(bitand(表格4_711[[#This Row],[DEC]],7)&lt;1,"//", VLOOKUP(INT(表格4_711[[#This Row],[DEC]]/8),表格4_7112[],5,FALSE))</f>
        <v>Slow</v>
      </c>
      <c r="J135" s="147" t="str">
        <f xml:space="preserve"> VLOOKUP(bitand(表格4_711[[#This Row],[DEC]],8-1),表格2[],2,FALSE)</f>
        <v>_RangeUP</v>
      </c>
      <c r="K135" s="167" t="str">
        <f>CONCATENATE(表格4_711[[#This Row],[反應]],表格4_711[[#This Row],[補正]]," = ",表格4_711[[#This Row],[DEC]],",")</f>
        <v>Slow_RangeUP = 133,</v>
      </c>
      <c r="L13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慢_範圍提昇",</v>
      </c>
    </row>
    <row r="136" spans="2:12" x14ac:dyDescent="0.25">
      <c r="B136" s="99">
        <f t="shared" si="4"/>
        <v>134</v>
      </c>
      <c r="C136" s="125" t="str">
        <f>DEC2BIN(表格4_711[[#This Row],[DEC]]/2^($A$1-COLUMN()),3)</f>
        <v>100</v>
      </c>
      <c r="D136" s="126">
        <f>IF(ISODD( INT(表格4_711[[#This Row],[DEC]]/(2^($A$1-COLUMN())))),1,0)</f>
        <v>0</v>
      </c>
      <c r="E136" s="126">
        <f>IF(ISODD( INT(表格4_711[[#This Row],[DEC]]/(2^($A$1-COLUMN())))),1,0)</f>
        <v>0</v>
      </c>
      <c r="F136" s="127">
        <f>IF(ISODD( INT(表格4_711[[#This Row],[DEC]]/(2^($A$1-COLUMN())))),1,0)</f>
        <v>1</v>
      </c>
      <c r="G136" s="126">
        <f>IF(ISODD( INT(表格4_711[[#This Row],[DEC]]/(2^($A$1-COLUMN())))),1,0)</f>
        <v>1</v>
      </c>
      <c r="H136" s="126">
        <f>IF(ISODD( INT(表格4_711[[#This Row],[DEC]]/(2^($A$1-COLUMN())))),1,0)</f>
        <v>0</v>
      </c>
      <c r="I136" s="212" t="str">
        <f xml:space="preserve"> IF(bitand(表格4_711[[#This Row],[DEC]],7)&lt;1,"//", VLOOKUP(INT(表格4_711[[#This Row],[DEC]]/8),表格4_7112[],5,FALSE))</f>
        <v>Slow</v>
      </c>
      <c r="J136" s="147" t="str">
        <f xml:space="preserve"> VLOOKUP(bitand(表格4_711[[#This Row],[DEC]],8-1),表格2[],2,FALSE)</f>
        <v>_IntensityDown</v>
      </c>
      <c r="K136" s="167" t="str">
        <f>CONCATENATE(表格4_711[[#This Row],[反應]],表格4_711[[#This Row],[補正]]," = ",表格4_711[[#This Row],[DEC]],",")</f>
        <v>Slow_IntensityDown = 134,</v>
      </c>
      <c r="L1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慢_強度降低",</v>
      </c>
    </row>
    <row r="137" spans="2:12" x14ac:dyDescent="0.25">
      <c r="B137" s="99">
        <f t="shared" si="4"/>
        <v>135</v>
      </c>
      <c r="C137" s="125" t="str">
        <f>DEC2BIN(表格4_711[[#This Row],[DEC]]/2^($A$1-COLUMN()),3)</f>
        <v>100</v>
      </c>
      <c r="D137" s="126">
        <f>IF(ISODD( INT(表格4_711[[#This Row],[DEC]]/(2^($A$1-COLUMN())))),1,0)</f>
        <v>0</v>
      </c>
      <c r="E137" s="126">
        <f>IF(ISODD( INT(表格4_711[[#This Row],[DEC]]/(2^($A$1-COLUMN())))),1,0)</f>
        <v>0</v>
      </c>
      <c r="F137" s="127">
        <f>IF(ISODD( INT(表格4_711[[#This Row],[DEC]]/(2^($A$1-COLUMN())))),1,0)</f>
        <v>1</v>
      </c>
      <c r="G137" s="126">
        <f>IF(ISODD( INT(表格4_711[[#This Row],[DEC]]/(2^($A$1-COLUMN())))),1,0)</f>
        <v>1</v>
      </c>
      <c r="H137" s="126">
        <f>IF(ISODD( INT(表格4_711[[#This Row],[DEC]]/(2^($A$1-COLUMN())))),1,0)</f>
        <v>1</v>
      </c>
      <c r="I137" s="212" t="str">
        <f xml:space="preserve"> IF(bitand(表格4_711[[#This Row],[DEC]],7)&lt;1,"//", VLOOKUP(INT(表格4_711[[#This Row],[DEC]]/8),表格4_7112[],5,FALSE))</f>
        <v>Slow</v>
      </c>
      <c r="J137" s="147" t="str">
        <f xml:space="preserve"> VLOOKUP(bitand(表格4_711[[#This Row],[DEC]],8-1),表格2[],2,FALSE)</f>
        <v>_IntensityUp</v>
      </c>
      <c r="K137" s="167" t="str">
        <f>CONCATENATE(表格4_711[[#This Row],[反應]],表格4_711[[#This Row],[補正]]," = ",表格4_711[[#This Row],[DEC]],",")</f>
        <v>Slow_IntensityUp = 135,</v>
      </c>
      <c r="L1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慢_強度提昇",</v>
      </c>
    </row>
    <row r="138" spans="2:12" x14ac:dyDescent="0.25">
      <c r="B138" s="99">
        <f t="shared" si="4"/>
        <v>136</v>
      </c>
      <c r="C138" s="125" t="str">
        <f>DEC2BIN(表格4_711[[#This Row],[DEC]]/2^($A$1-COLUMN()),3)</f>
        <v>100</v>
      </c>
      <c r="D138" s="126">
        <f>IF(ISODD( INT(表格4_711[[#This Row],[DEC]]/(2^($A$1-COLUMN())))),1,0)</f>
        <v>0</v>
      </c>
      <c r="E138" s="126">
        <f>IF(ISODD( INT(表格4_711[[#This Row],[DEC]]/(2^($A$1-COLUMN())))),1,0)</f>
        <v>1</v>
      </c>
      <c r="F138" s="127">
        <f>IF(ISODD( INT(表格4_711[[#This Row],[DEC]]/(2^($A$1-COLUMN())))),1,0)</f>
        <v>0</v>
      </c>
      <c r="G138" s="126">
        <f>IF(ISODD( INT(表格4_711[[#This Row],[DEC]]/(2^($A$1-COLUMN())))),1,0)</f>
        <v>0</v>
      </c>
      <c r="H138" s="126">
        <f>IF(ISODD( INT(表格4_711[[#This Row],[DEC]]/(2^($A$1-COLUMN())))),1,0)</f>
        <v>0</v>
      </c>
      <c r="I138" s="192" t="str">
        <f xml:space="preserve"> IF(bitand(表格4_711[[#This Row],[DEC]],7)&lt;1,"//", VLOOKUP(INT(表格4_711[[#This Row],[DEC]]/8),表格4_7112[],5,FALSE))</f>
        <v>//</v>
      </c>
      <c r="J138" s="145" t="str">
        <f xml:space="preserve"> VLOOKUP(bitand(表格4_711[[#This Row],[DEC]],8-1),表格2[],2,FALSE)</f>
        <v/>
      </c>
      <c r="K138" s="144" t="str">
        <f>CONCATENATE(表格4_711[[#This Row],[反應]],表格4_711[[#This Row],[補正]]," = ",表格4_711[[#This Row],[DEC]],",")</f>
        <v>// = 136,</v>
      </c>
      <c r="L13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39" spans="2:12" x14ac:dyDescent="0.25">
      <c r="B139" s="99">
        <f t="shared" si="4"/>
        <v>137</v>
      </c>
      <c r="C139" s="125" t="str">
        <f>DEC2BIN(表格4_711[[#This Row],[DEC]]/2^($A$1-COLUMN()),3)</f>
        <v>100</v>
      </c>
      <c r="D139" s="126">
        <f>IF(ISODD( INT(表格4_711[[#This Row],[DEC]]/(2^($A$1-COLUMN())))),1,0)</f>
        <v>0</v>
      </c>
      <c r="E139" s="126">
        <f>IF(ISODD( INT(表格4_711[[#This Row],[DEC]]/(2^($A$1-COLUMN())))),1,0)</f>
        <v>1</v>
      </c>
      <c r="F139" s="127">
        <f>IF(ISODD( INT(表格4_711[[#This Row],[DEC]]/(2^($A$1-COLUMN())))),1,0)</f>
        <v>0</v>
      </c>
      <c r="G139" s="126">
        <f>IF(ISODD( INT(表格4_711[[#This Row],[DEC]]/(2^($A$1-COLUMN())))),1,0)</f>
        <v>0</v>
      </c>
      <c r="H139" s="126">
        <f>IF(ISODD( INT(表格4_711[[#This Row],[DEC]]/(2^($A$1-COLUMN())))),1,0)</f>
        <v>1</v>
      </c>
      <c r="I139" s="177" t="str">
        <f xml:space="preserve"> IF(bitand(表格4_711[[#This Row],[DEC]],7)&lt;1,"//", VLOOKUP(INT(表格4_711[[#This Row],[DEC]]/8),表格4_7112[],5,FALSE))</f>
        <v>Poison</v>
      </c>
      <c r="J139" s="131" t="str">
        <f xml:space="preserve"> VLOOKUP(bitand(表格4_711[[#This Row],[DEC]],8-1),表格2[],2,FALSE)</f>
        <v/>
      </c>
      <c r="K139" s="131" t="str">
        <f>CONCATENATE(表格4_711[[#This Row],[反應]],表格4_711[[#This Row],[補正]]," = ",表格4_711[[#This Row],[DEC]],",")</f>
        <v>Poison = 137,</v>
      </c>
      <c r="L139" s="13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毒",</v>
      </c>
    </row>
    <row r="140" spans="2:12" x14ac:dyDescent="0.25">
      <c r="B140" s="99">
        <f t="shared" si="4"/>
        <v>138</v>
      </c>
      <c r="C140" s="125" t="str">
        <f>DEC2BIN(表格4_711[[#This Row],[DEC]]/2^($A$1-COLUMN()),3)</f>
        <v>100</v>
      </c>
      <c r="D140" s="126">
        <f>IF(ISODD( INT(表格4_711[[#This Row],[DEC]]/(2^($A$1-COLUMN())))),1,0)</f>
        <v>0</v>
      </c>
      <c r="E140" s="126">
        <f>IF(ISODD( INT(表格4_711[[#This Row],[DEC]]/(2^($A$1-COLUMN())))),1,0)</f>
        <v>1</v>
      </c>
      <c r="F140" s="127">
        <f>IF(ISODD( INT(表格4_711[[#This Row],[DEC]]/(2^($A$1-COLUMN())))),1,0)</f>
        <v>0</v>
      </c>
      <c r="G140" s="126">
        <f>IF(ISODD( INT(表格4_711[[#This Row],[DEC]]/(2^($A$1-COLUMN())))),1,0)</f>
        <v>1</v>
      </c>
      <c r="H140" s="126">
        <f>IF(ISODD( INT(表格4_711[[#This Row],[DEC]]/(2^($A$1-COLUMN())))),1,0)</f>
        <v>0</v>
      </c>
      <c r="I140" s="210" t="str">
        <f xml:space="preserve"> IF(bitand(表格4_711[[#This Row],[DEC]],7)&lt;1,"//", VLOOKUP(INT(表格4_711[[#This Row],[DEC]]/8),表格4_7112[],5,FALSE))</f>
        <v>Poison</v>
      </c>
      <c r="J140" s="207" t="str">
        <f xml:space="preserve"> VLOOKUP(bitand(表格4_711[[#This Row],[DEC]],8-1),表格2[],2,FALSE)</f>
        <v>_Clear</v>
      </c>
      <c r="K140" s="167" t="str">
        <f>CONCATENATE(表格4_711[[#This Row],[反應]],表格4_711[[#This Row],[補正]]," = ",表格4_711[[#This Row],[DEC]],",")</f>
        <v>Poison_Clear = 138,</v>
      </c>
      <c r="L1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毒_解除",</v>
      </c>
    </row>
    <row r="141" spans="2:12" x14ac:dyDescent="0.25">
      <c r="B141" s="99">
        <f t="shared" si="4"/>
        <v>139</v>
      </c>
      <c r="C141" s="125" t="str">
        <f>DEC2BIN(表格4_711[[#This Row],[DEC]]/2^($A$1-COLUMN()),3)</f>
        <v>100</v>
      </c>
      <c r="D141" s="126">
        <f>IF(ISODD( INT(表格4_711[[#This Row],[DEC]]/(2^($A$1-COLUMN())))),1,0)</f>
        <v>0</v>
      </c>
      <c r="E141" s="126">
        <f>IF(ISODD( INT(表格4_711[[#This Row],[DEC]]/(2^($A$1-COLUMN())))),1,0)</f>
        <v>1</v>
      </c>
      <c r="F141" s="127">
        <f>IF(ISODD( INT(表格4_711[[#This Row],[DEC]]/(2^($A$1-COLUMN())))),1,0)</f>
        <v>0</v>
      </c>
      <c r="G141" s="126">
        <f>IF(ISODD( INT(表格4_711[[#This Row],[DEC]]/(2^($A$1-COLUMN())))),1,0)</f>
        <v>1</v>
      </c>
      <c r="H141" s="126">
        <f>IF(ISODD( INT(表格4_711[[#This Row],[DEC]]/(2^($A$1-COLUMN())))),1,0)</f>
        <v>1</v>
      </c>
      <c r="I141" s="211" t="str">
        <f xml:space="preserve"> IF(bitand(表格4_711[[#This Row],[DEC]],7)&lt;1,"//", VLOOKUP(INT(表格4_711[[#This Row],[DEC]]/8),表格4_7112[],5,FALSE))</f>
        <v>Poison</v>
      </c>
      <c r="J141" s="208" t="str">
        <f xml:space="preserve"> VLOOKUP(bitand(表格4_711[[#This Row],[DEC]],8-1),表格2[],2,FALSE)</f>
        <v>_Spread</v>
      </c>
      <c r="K141" s="167" t="str">
        <f>CONCATENATE(表格4_711[[#This Row],[反應]],表格4_711[[#This Row],[補正]]," = ",表格4_711[[#This Row],[DEC]],",")</f>
        <v>Poison_Spread = 139,</v>
      </c>
      <c r="L1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毒_散播",</v>
      </c>
    </row>
    <row r="142" spans="2:12" x14ac:dyDescent="0.25">
      <c r="B142" s="99">
        <f t="shared" si="4"/>
        <v>140</v>
      </c>
      <c r="C142" s="125" t="str">
        <f>DEC2BIN(表格4_711[[#This Row],[DEC]]/2^($A$1-COLUMN()),3)</f>
        <v>100</v>
      </c>
      <c r="D142" s="126">
        <f>IF(ISODD( INT(表格4_711[[#This Row],[DEC]]/(2^($A$1-COLUMN())))),1,0)</f>
        <v>0</v>
      </c>
      <c r="E142" s="126">
        <f>IF(ISODD( INT(表格4_711[[#This Row],[DEC]]/(2^($A$1-COLUMN())))),1,0)</f>
        <v>1</v>
      </c>
      <c r="F142" s="127">
        <f>IF(ISODD( INT(表格4_711[[#This Row],[DEC]]/(2^($A$1-COLUMN())))),1,0)</f>
        <v>1</v>
      </c>
      <c r="G142" s="126">
        <f>IF(ISODD( INT(表格4_711[[#This Row],[DEC]]/(2^($A$1-COLUMN())))),1,0)</f>
        <v>0</v>
      </c>
      <c r="H142" s="126">
        <f>IF(ISODD( INT(表格4_711[[#This Row],[DEC]]/(2^($A$1-COLUMN())))),1,0)</f>
        <v>0</v>
      </c>
      <c r="I142" s="212" t="str">
        <f xml:space="preserve"> IF(bitand(表格4_711[[#This Row],[DEC]],7)&lt;1,"//", VLOOKUP(INT(表格4_711[[#This Row],[DEC]]/8),表格4_7112[],5,FALSE))</f>
        <v>Poison</v>
      </c>
      <c r="J142" s="147" t="str">
        <f xml:space="preserve"> VLOOKUP(bitand(表格4_711[[#This Row],[DEC]],8-1),表格2[],2,FALSE)</f>
        <v>_RangeDown</v>
      </c>
      <c r="K142" s="167" t="str">
        <f>CONCATENATE(表格4_711[[#This Row],[反應]],表格4_711[[#This Row],[補正]]," = ",表格4_711[[#This Row],[DEC]],",")</f>
        <v>Poison_RangeDown = 140,</v>
      </c>
      <c r="L14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毒_範圍降低",</v>
      </c>
    </row>
    <row r="143" spans="2:12" x14ac:dyDescent="0.25">
      <c r="B143" s="99">
        <f t="shared" si="4"/>
        <v>141</v>
      </c>
      <c r="C143" s="125" t="str">
        <f>DEC2BIN(表格4_711[[#This Row],[DEC]]/2^($A$1-COLUMN()),3)</f>
        <v>100</v>
      </c>
      <c r="D143" s="126">
        <f>IF(ISODD( INT(表格4_711[[#This Row],[DEC]]/(2^($A$1-COLUMN())))),1,0)</f>
        <v>0</v>
      </c>
      <c r="E143" s="126">
        <f>IF(ISODD( INT(表格4_711[[#This Row],[DEC]]/(2^($A$1-COLUMN())))),1,0)</f>
        <v>1</v>
      </c>
      <c r="F143" s="127">
        <f>IF(ISODD( INT(表格4_711[[#This Row],[DEC]]/(2^($A$1-COLUMN())))),1,0)</f>
        <v>1</v>
      </c>
      <c r="G143" s="126">
        <f>IF(ISODD( INT(表格4_711[[#This Row],[DEC]]/(2^($A$1-COLUMN())))),1,0)</f>
        <v>0</v>
      </c>
      <c r="H143" s="126">
        <f>IF(ISODD( INT(表格4_711[[#This Row],[DEC]]/(2^($A$1-COLUMN())))),1,0)</f>
        <v>1</v>
      </c>
      <c r="I143" s="212" t="str">
        <f xml:space="preserve"> IF(bitand(表格4_711[[#This Row],[DEC]],7)&lt;1,"//", VLOOKUP(INT(表格4_711[[#This Row],[DEC]]/8),表格4_7112[],5,FALSE))</f>
        <v>Poison</v>
      </c>
      <c r="J143" s="147" t="str">
        <f xml:space="preserve"> VLOOKUP(bitand(表格4_711[[#This Row],[DEC]],8-1),表格2[],2,FALSE)</f>
        <v>_RangeUP</v>
      </c>
      <c r="K143" s="167" t="str">
        <f>CONCATENATE(表格4_711[[#This Row],[反應]],表格4_711[[#This Row],[補正]]," = ",表格4_711[[#This Row],[DEC]],",")</f>
        <v>Poison_RangeUP = 141,</v>
      </c>
      <c r="L14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毒_範圍提昇",</v>
      </c>
    </row>
    <row r="144" spans="2:12" x14ac:dyDescent="0.25">
      <c r="B144" s="99">
        <f t="shared" si="4"/>
        <v>142</v>
      </c>
      <c r="C144" s="125" t="str">
        <f>DEC2BIN(表格4_711[[#This Row],[DEC]]/2^($A$1-COLUMN()),3)</f>
        <v>100</v>
      </c>
      <c r="D144" s="126">
        <f>IF(ISODD( INT(表格4_711[[#This Row],[DEC]]/(2^($A$1-COLUMN())))),1,0)</f>
        <v>0</v>
      </c>
      <c r="E144" s="126">
        <f>IF(ISODD( INT(表格4_711[[#This Row],[DEC]]/(2^($A$1-COLUMN())))),1,0)</f>
        <v>1</v>
      </c>
      <c r="F144" s="127">
        <f>IF(ISODD( INT(表格4_711[[#This Row],[DEC]]/(2^($A$1-COLUMN())))),1,0)</f>
        <v>1</v>
      </c>
      <c r="G144" s="126">
        <f>IF(ISODD( INT(表格4_711[[#This Row],[DEC]]/(2^($A$1-COLUMN())))),1,0)</f>
        <v>1</v>
      </c>
      <c r="H144" s="126">
        <f>IF(ISODD( INT(表格4_711[[#This Row],[DEC]]/(2^($A$1-COLUMN())))),1,0)</f>
        <v>0</v>
      </c>
      <c r="I144" s="212" t="str">
        <f xml:space="preserve"> IF(bitand(表格4_711[[#This Row],[DEC]],7)&lt;1,"//", VLOOKUP(INT(表格4_711[[#This Row],[DEC]]/8),表格4_7112[],5,FALSE))</f>
        <v>Poison</v>
      </c>
      <c r="J144" s="147" t="str">
        <f xml:space="preserve"> VLOOKUP(bitand(表格4_711[[#This Row],[DEC]],8-1),表格2[],2,FALSE)</f>
        <v>_IntensityDown</v>
      </c>
      <c r="K144" s="167" t="str">
        <f>CONCATENATE(表格4_711[[#This Row],[反應]],表格4_711[[#This Row],[補正]]," = ",表格4_711[[#This Row],[DEC]],",")</f>
        <v>Poison_IntensityDown = 142,</v>
      </c>
      <c r="L1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毒_強度降低",</v>
      </c>
    </row>
    <row r="145" spans="2:12" x14ac:dyDescent="0.25">
      <c r="B145" s="99">
        <f t="shared" si="4"/>
        <v>143</v>
      </c>
      <c r="C145" s="125" t="str">
        <f>DEC2BIN(表格4_711[[#This Row],[DEC]]/2^($A$1-COLUMN()),3)</f>
        <v>100</v>
      </c>
      <c r="D145" s="126">
        <f>IF(ISODD( INT(表格4_711[[#This Row],[DEC]]/(2^($A$1-COLUMN())))),1,0)</f>
        <v>0</v>
      </c>
      <c r="E145" s="126">
        <f>IF(ISODD( INT(表格4_711[[#This Row],[DEC]]/(2^($A$1-COLUMN())))),1,0)</f>
        <v>1</v>
      </c>
      <c r="F145" s="127">
        <f>IF(ISODD( INT(表格4_711[[#This Row],[DEC]]/(2^($A$1-COLUMN())))),1,0)</f>
        <v>1</v>
      </c>
      <c r="G145" s="126">
        <f>IF(ISODD( INT(表格4_711[[#This Row],[DEC]]/(2^($A$1-COLUMN())))),1,0)</f>
        <v>1</v>
      </c>
      <c r="H145" s="126">
        <f>IF(ISODD( INT(表格4_711[[#This Row],[DEC]]/(2^($A$1-COLUMN())))),1,0)</f>
        <v>1</v>
      </c>
      <c r="I145" s="212" t="str">
        <f xml:space="preserve"> IF(bitand(表格4_711[[#This Row],[DEC]],7)&lt;1,"//", VLOOKUP(INT(表格4_711[[#This Row],[DEC]]/8),表格4_7112[],5,FALSE))</f>
        <v>Poison</v>
      </c>
      <c r="J145" s="147" t="str">
        <f xml:space="preserve"> VLOOKUP(bitand(表格4_711[[#This Row],[DEC]],8-1),表格2[],2,FALSE)</f>
        <v>_IntensityUp</v>
      </c>
      <c r="K145" s="167" t="str">
        <f>CONCATENATE(表格4_711[[#This Row],[反應]],表格4_711[[#This Row],[補正]]," = ",表格4_711[[#This Row],[DEC]],",")</f>
        <v>Poison_IntensityUp = 143,</v>
      </c>
      <c r="L1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毒_強度提昇",</v>
      </c>
    </row>
    <row r="146" spans="2:12" x14ac:dyDescent="0.25">
      <c r="B146" s="99">
        <f t="shared" si="4"/>
        <v>144</v>
      </c>
      <c r="C146" s="125" t="str">
        <f>DEC2BIN(表格4_711[[#This Row],[DEC]]/2^($A$1-COLUMN()),3)</f>
        <v>100</v>
      </c>
      <c r="D146" s="126">
        <f>IF(ISODD( INT(表格4_711[[#This Row],[DEC]]/(2^($A$1-COLUMN())))),1,0)</f>
        <v>1</v>
      </c>
      <c r="E146" s="126">
        <f>IF(ISODD( INT(表格4_711[[#This Row],[DEC]]/(2^($A$1-COLUMN())))),1,0)</f>
        <v>0</v>
      </c>
      <c r="F146" s="127">
        <f>IF(ISODD( INT(表格4_711[[#This Row],[DEC]]/(2^($A$1-COLUMN())))),1,0)</f>
        <v>0</v>
      </c>
      <c r="G146" s="126">
        <f>IF(ISODD( INT(表格4_711[[#This Row],[DEC]]/(2^($A$1-COLUMN())))),1,0)</f>
        <v>0</v>
      </c>
      <c r="H146" s="126">
        <f>IF(ISODD( INT(表格4_711[[#This Row],[DEC]]/(2^($A$1-COLUMN())))),1,0)</f>
        <v>0</v>
      </c>
      <c r="I146" s="192" t="str">
        <f xml:space="preserve"> IF(bitand(表格4_711[[#This Row],[DEC]],7)&lt;1,"//", VLOOKUP(INT(表格4_711[[#This Row],[DEC]]/8),表格4_7112[],5,FALSE))</f>
        <v>//</v>
      </c>
      <c r="J146" s="145" t="str">
        <f xml:space="preserve"> VLOOKUP(bitand(表格4_711[[#This Row],[DEC]],8-1),表格2[],2,FALSE)</f>
        <v/>
      </c>
      <c r="K146" s="144" t="str">
        <f>CONCATENATE(表格4_711[[#This Row],[反應]],表格4_711[[#This Row],[補正]]," = ",表格4_711[[#This Row],[DEC]],",")</f>
        <v>// = 144,</v>
      </c>
      <c r="L14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47" spans="2:12" x14ac:dyDescent="0.25">
      <c r="B147" s="99">
        <f t="shared" si="4"/>
        <v>145</v>
      </c>
      <c r="C147" s="125" t="str">
        <f>DEC2BIN(表格4_711[[#This Row],[DEC]]/2^($A$1-COLUMN()),3)</f>
        <v>100</v>
      </c>
      <c r="D147" s="126">
        <f>IF(ISODD( INT(表格4_711[[#This Row],[DEC]]/(2^($A$1-COLUMN())))),1,0)</f>
        <v>1</v>
      </c>
      <c r="E147" s="126">
        <f>IF(ISODD( INT(表格4_711[[#This Row],[DEC]]/(2^($A$1-COLUMN())))),1,0)</f>
        <v>0</v>
      </c>
      <c r="F147" s="127">
        <f>IF(ISODD( INT(表格4_711[[#This Row],[DEC]]/(2^($A$1-COLUMN())))),1,0)</f>
        <v>0</v>
      </c>
      <c r="G147" s="126">
        <f>IF(ISODD( INT(表格4_711[[#This Row],[DEC]]/(2^($A$1-COLUMN())))),1,0)</f>
        <v>0</v>
      </c>
      <c r="H147" s="126">
        <f>IF(ISODD( INT(表格4_711[[#This Row],[DEC]]/(2^($A$1-COLUMN())))),1,0)</f>
        <v>1</v>
      </c>
      <c r="I147" s="178" t="str">
        <f xml:space="preserve"> IF(bitand(表格4_711[[#This Row],[DEC]],7)&lt;1,"//", VLOOKUP(INT(表格4_711[[#This Row],[DEC]]/8),表格4_7112[],5,FALSE))</f>
        <v>Freeze</v>
      </c>
      <c r="J147" s="132" t="str">
        <f xml:space="preserve"> VLOOKUP(bitand(表格4_711[[#This Row],[DEC]],8-1),表格2[],2,FALSE)</f>
        <v/>
      </c>
      <c r="K147" s="132" t="str">
        <f>CONCATENATE(表格4_711[[#This Row],[反應]],表格4_711[[#This Row],[補正]]," = ",表格4_711[[#This Row],[DEC]],",")</f>
        <v>Freeze = 145,</v>
      </c>
      <c r="L147" s="13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凍",</v>
      </c>
    </row>
    <row r="148" spans="2:12" x14ac:dyDescent="0.25">
      <c r="B148" s="99">
        <f t="shared" si="4"/>
        <v>146</v>
      </c>
      <c r="C148" s="125" t="str">
        <f>DEC2BIN(表格4_711[[#This Row],[DEC]]/2^($A$1-COLUMN()),3)</f>
        <v>100</v>
      </c>
      <c r="D148" s="126">
        <f>IF(ISODD( INT(表格4_711[[#This Row],[DEC]]/(2^($A$1-COLUMN())))),1,0)</f>
        <v>1</v>
      </c>
      <c r="E148" s="126">
        <f>IF(ISODD( INT(表格4_711[[#This Row],[DEC]]/(2^($A$1-COLUMN())))),1,0)</f>
        <v>0</v>
      </c>
      <c r="F148" s="127">
        <f>IF(ISODD( INT(表格4_711[[#This Row],[DEC]]/(2^($A$1-COLUMN())))),1,0)</f>
        <v>0</v>
      </c>
      <c r="G148" s="126">
        <f>IF(ISODD( INT(表格4_711[[#This Row],[DEC]]/(2^($A$1-COLUMN())))),1,0)</f>
        <v>1</v>
      </c>
      <c r="H148" s="126">
        <f>IF(ISODD( INT(表格4_711[[#This Row],[DEC]]/(2^($A$1-COLUMN())))),1,0)</f>
        <v>0</v>
      </c>
      <c r="I148" s="210" t="str">
        <f xml:space="preserve"> IF(bitand(表格4_711[[#This Row],[DEC]],7)&lt;1,"//", VLOOKUP(INT(表格4_711[[#This Row],[DEC]]/8),表格4_7112[],5,FALSE))</f>
        <v>Freeze</v>
      </c>
      <c r="J148" s="207" t="str">
        <f xml:space="preserve"> VLOOKUP(bitand(表格4_711[[#This Row],[DEC]],8-1),表格2[],2,FALSE)</f>
        <v>_Clear</v>
      </c>
      <c r="K148" s="167" t="str">
        <f>CONCATENATE(表格4_711[[#This Row],[反應]],表格4_711[[#This Row],[補正]]," = ",表格4_711[[#This Row],[DEC]],",")</f>
        <v>Freeze_Clear = 146,</v>
      </c>
      <c r="L1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凍_解除",</v>
      </c>
    </row>
    <row r="149" spans="2:12" x14ac:dyDescent="0.25">
      <c r="B149" s="99">
        <f t="shared" si="4"/>
        <v>147</v>
      </c>
      <c r="C149" s="125" t="str">
        <f>DEC2BIN(表格4_711[[#This Row],[DEC]]/2^($A$1-COLUMN()),3)</f>
        <v>100</v>
      </c>
      <c r="D149" s="126">
        <f>IF(ISODD( INT(表格4_711[[#This Row],[DEC]]/(2^($A$1-COLUMN())))),1,0)</f>
        <v>1</v>
      </c>
      <c r="E149" s="126">
        <f>IF(ISODD( INT(表格4_711[[#This Row],[DEC]]/(2^($A$1-COLUMN())))),1,0)</f>
        <v>0</v>
      </c>
      <c r="F149" s="127">
        <f>IF(ISODD( INT(表格4_711[[#This Row],[DEC]]/(2^($A$1-COLUMN())))),1,0)</f>
        <v>0</v>
      </c>
      <c r="G149" s="126">
        <f>IF(ISODD( INT(表格4_711[[#This Row],[DEC]]/(2^($A$1-COLUMN())))),1,0)</f>
        <v>1</v>
      </c>
      <c r="H149" s="126">
        <f>IF(ISODD( INT(表格4_711[[#This Row],[DEC]]/(2^($A$1-COLUMN())))),1,0)</f>
        <v>1</v>
      </c>
      <c r="I149" s="211" t="str">
        <f xml:space="preserve"> IF(bitand(表格4_711[[#This Row],[DEC]],7)&lt;1,"//", VLOOKUP(INT(表格4_711[[#This Row],[DEC]]/8),表格4_7112[],5,FALSE))</f>
        <v>Freeze</v>
      </c>
      <c r="J149" s="208" t="str">
        <f xml:space="preserve"> VLOOKUP(bitand(表格4_711[[#This Row],[DEC]],8-1),表格2[],2,FALSE)</f>
        <v>_Spread</v>
      </c>
      <c r="K149" s="167" t="str">
        <f>CONCATENATE(表格4_711[[#This Row],[反應]],表格4_711[[#This Row],[補正]]," = ",表格4_711[[#This Row],[DEC]],",")</f>
        <v>Freeze_Spread = 147,</v>
      </c>
      <c r="L1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凍_散播",</v>
      </c>
    </row>
    <row r="150" spans="2:12" x14ac:dyDescent="0.25">
      <c r="B150" s="99">
        <f t="shared" si="4"/>
        <v>148</v>
      </c>
      <c r="C150" s="125" t="str">
        <f>DEC2BIN(表格4_711[[#This Row],[DEC]]/2^($A$1-COLUMN()),3)</f>
        <v>100</v>
      </c>
      <c r="D150" s="126">
        <f>IF(ISODD( INT(表格4_711[[#This Row],[DEC]]/(2^($A$1-COLUMN())))),1,0)</f>
        <v>1</v>
      </c>
      <c r="E150" s="126">
        <f>IF(ISODD( INT(表格4_711[[#This Row],[DEC]]/(2^($A$1-COLUMN())))),1,0)</f>
        <v>0</v>
      </c>
      <c r="F150" s="127">
        <f>IF(ISODD( INT(表格4_711[[#This Row],[DEC]]/(2^($A$1-COLUMN())))),1,0)</f>
        <v>1</v>
      </c>
      <c r="G150" s="126">
        <f>IF(ISODD( INT(表格4_711[[#This Row],[DEC]]/(2^($A$1-COLUMN())))),1,0)</f>
        <v>0</v>
      </c>
      <c r="H150" s="126">
        <f>IF(ISODD( INT(表格4_711[[#This Row],[DEC]]/(2^($A$1-COLUMN())))),1,0)</f>
        <v>0</v>
      </c>
      <c r="I150" s="212" t="str">
        <f xml:space="preserve"> IF(bitand(表格4_711[[#This Row],[DEC]],7)&lt;1,"//", VLOOKUP(INT(表格4_711[[#This Row],[DEC]]/8),表格4_7112[],5,FALSE))</f>
        <v>Freeze</v>
      </c>
      <c r="J150" s="147" t="str">
        <f xml:space="preserve"> VLOOKUP(bitand(表格4_711[[#This Row],[DEC]],8-1),表格2[],2,FALSE)</f>
        <v>_RangeDown</v>
      </c>
      <c r="K150" s="167" t="str">
        <f>CONCATENATE(表格4_711[[#This Row],[反應]],表格4_711[[#This Row],[補正]]," = ",表格4_711[[#This Row],[DEC]],",")</f>
        <v>Freeze_RangeDown = 148,</v>
      </c>
      <c r="L15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凍_範圍降低",</v>
      </c>
    </row>
    <row r="151" spans="2:12" x14ac:dyDescent="0.25">
      <c r="B151" s="57">
        <f t="shared" si="4"/>
        <v>149</v>
      </c>
      <c r="C151" s="122" t="str">
        <f>DEC2BIN(表格4_711[[#This Row],[DEC]]/2^($A$1-COLUMN()),3)</f>
        <v>100</v>
      </c>
      <c r="D151" s="123">
        <f>IF(ISODD( INT(表格4_711[[#This Row],[DEC]]/(2^($A$1-COLUMN())))),1,0)</f>
        <v>1</v>
      </c>
      <c r="E151" s="123">
        <f>IF(ISODD( INT(表格4_711[[#This Row],[DEC]]/(2^($A$1-COLUMN())))),1,0)</f>
        <v>0</v>
      </c>
      <c r="F151" s="124">
        <f>IF(ISODD( INT(表格4_711[[#This Row],[DEC]]/(2^($A$1-COLUMN())))),1,0)</f>
        <v>1</v>
      </c>
      <c r="G151" s="123">
        <f>IF(ISODD( INT(表格4_711[[#This Row],[DEC]]/(2^($A$1-COLUMN())))),1,0)</f>
        <v>0</v>
      </c>
      <c r="H151" s="123">
        <f>IF(ISODD( INT(表格4_711[[#This Row],[DEC]]/(2^($A$1-COLUMN())))),1,0)</f>
        <v>1</v>
      </c>
      <c r="I151" s="212" t="str">
        <f xml:space="preserve"> IF(bitand(表格4_711[[#This Row],[DEC]],7)&lt;1,"//", VLOOKUP(INT(表格4_711[[#This Row],[DEC]]/8),表格4_7112[],5,FALSE))</f>
        <v>Freeze</v>
      </c>
      <c r="J151" s="147" t="str">
        <f xml:space="preserve"> VLOOKUP(bitand(表格4_711[[#This Row],[DEC]],8-1),表格2[],2,FALSE)</f>
        <v>_RangeUP</v>
      </c>
      <c r="K151" s="168" t="str">
        <f>CONCATENATE(表格4_711[[#This Row],[反應]],表格4_711[[#This Row],[補正]]," = ",表格4_711[[#This Row],[DEC]],",")</f>
        <v>Freeze_RangeUP = 149,</v>
      </c>
      <c r="L15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凍_範圍提昇",</v>
      </c>
    </row>
    <row r="152" spans="2:12" x14ac:dyDescent="0.25">
      <c r="B152" s="99">
        <f t="shared" ref="B152:B173" si="5">ROW()-2</f>
        <v>150</v>
      </c>
      <c r="C152" s="125" t="str">
        <f>DEC2BIN(表格4_711[[#This Row],[DEC]]/2^($A$1-COLUMN()),3)</f>
        <v>100</v>
      </c>
      <c r="D152" s="126">
        <f>IF(ISODD( INT(表格4_711[[#This Row],[DEC]]/(2^($A$1-COLUMN())))),1,0)</f>
        <v>1</v>
      </c>
      <c r="E152" s="126">
        <f>IF(ISODD( INT(表格4_711[[#This Row],[DEC]]/(2^($A$1-COLUMN())))),1,0)</f>
        <v>0</v>
      </c>
      <c r="F152" s="127">
        <f>IF(ISODD( INT(表格4_711[[#This Row],[DEC]]/(2^($A$1-COLUMN())))),1,0)</f>
        <v>1</v>
      </c>
      <c r="G152" s="126">
        <f>IF(ISODD( INT(表格4_711[[#This Row],[DEC]]/(2^($A$1-COLUMN())))),1,0)</f>
        <v>1</v>
      </c>
      <c r="H152" s="126">
        <f>IF(ISODD( INT(表格4_711[[#This Row],[DEC]]/(2^($A$1-COLUMN())))),1,0)</f>
        <v>0</v>
      </c>
      <c r="I152" s="212" t="str">
        <f xml:space="preserve"> IF(bitand(表格4_711[[#This Row],[DEC]],7)&lt;1,"//", VLOOKUP(INT(表格4_711[[#This Row],[DEC]]/8),表格4_7112[],5,FALSE))</f>
        <v>Freeze</v>
      </c>
      <c r="J152" s="147" t="str">
        <f xml:space="preserve"> VLOOKUP(bitand(表格4_711[[#This Row],[DEC]],8-1),表格2[],2,FALSE)</f>
        <v>_IntensityDown</v>
      </c>
      <c r="K152" s="167" t="str">
        <f>CONCATENATE(表格4_711[[#This Row],[反應]],表格4_711[[#This Row],[補正]]," = ",表格4_711[[#This Row],[DEC]],",")</f>
        <v>Freeze_IntensityDown = 150,</v>
      </c>
      <c r="L1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凍_強度降低",</v>
      </c>
    </row>
    <row r="153" spans="2:12" x14ac:dyDescent="0.25">
      <c r="B153" s="99">
        <f t="shared" si="5"/>
        <v>151</v>
      </c>
      <c r="C153" s="125" t="str">
        <f>DEC2BIN(表格4_711[[#This Row],[DEC]]/2^($A$1-COLUMN()),3)</f>
        <v>100</v>
      </c>
      <c r="D153" s="126">
        <f>IF(ISODD( INT(表格4_711[[#This Row],[DEC]]/(2^($A$1-COLUMN())))),1,0)</f>
        <v>1</v>
      </c>
      <c r="E153" s="126">
        <f>IF(ISODD( INT(表格4_711[[#This Row],[DEC]]/(2^($A$1-COLUMN())))),1,0)</f>
        <v>0</v>
      </c>
      <c r="F153" s="127">
        <f>IF(ISODD( INT(表格4_711[[#This Row],[DEC]]/(2^($A$1-COLUMN())))),1,0)</f>
        <v>1</v>
      </c>
      <c r="G153" s="126">
        <f>IF(ISODD( INT(表格4_711[[#This Row],[DEC]]/(2^($A$1-COLUMN())))),1,0)</f>
        <v>1</v>
      </c>
      <c r="H153" s="126">
        <f>IF(ISODD( INT(表格4_711[[#This Row],[DEC]]/(2^($A$1-COLUMN())))),1,0)</f>
        <v>1</v>
      </c>
      <c r="I153" s="212" t="str">
        <f xml:space="preserve"> IF(bitand(表格4_711[[#This Row],[DEC]],7)&lt;1,"//", VLOOKUP(INT(表格4_711[[#This Row],[DEC]]/8),表格4_7112[],5,FALSE))</f>
        <v>Freeze</v>
      </c>
      <c r="J153" s="147" t="str">
        <f xml:space="preserve"> VLOOKUP(bitand(表格4_711[[#This Row],[DEC]],8-1),表格2[],2,FALSE)</f>
        <v>_IntensityUp</v>
      </c>
      <c r="K153" s="167" t="str">
        <f>CONCATENATE(表格4_711[[#This Row],[反應]],表格4_711[[#This Row],[補正]]," = ",表格4_711[[#This Row],[DEC]],",")</f>
        <v>Freeze_IntensityUp = 151,</v>
      </c>
      <c r="L1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凍_強度提昇",</v>
      </c>
    </row>
    <row r="154" spans="2:12" x14ac:dyDescent="0.25">
      <c r="B154" s="99">
        <f t="shared" si="5"/>
        <v>152</v>
      </c>
      <c r="C154" s="125" t="str">
        <f>DEC2BIN(表格4_711[[#This Row],[DEC]]/2^($A$1-COLUMN()),3)</f>
        <v>100</v>
      </c>
      <c r="D154" s="126">
        <f>IF(ISODD( INT(表格4_711[[#This Row],[DEC]]/(2^($A$1-COLUMN())))),1,0)</f>
        <v>1</v>
      </c>
      <c r="E154" s="126">
        <f>IF(ISODD( INT(表格4_711[[#This Row],[DEC]]/(2^($A$1-COLUMN())))),1,0)</f>
        <v>1</v>
      </c>
      <c r="F154" s="127">
        <f>IF(ISODD( INT(表格4_711[[#This Row],[DEC]]/(2^($A$1-COLUMN())))),1,0)</f>
        <v>0</v>
      </c>
      <c r="G154" s="126">
        <f>IF(ISODD( INT(表格4_711[[#This Row],[DEC]]/(2^($A$1-COLUMN())))),1,0)</f>
        <v>0</v>
      </c>
      <c r="H154" s="126">
        <f>IF(ISODD( INT(表格4_711[[#This Row],[DEC]]/(2^($A$1-COLUMN())))),1,0)</f>
        <v>0</v>
      </c>
      <c r="I154" s="192" t="str">
        <f xml:space="preserve"> IF(bitand(表格4_711[[#This Row],[DEC]],7)&lt;1,"//", VLOOKUP(INT(表格4_711[[#This Row],[DEC]]/8),表格4_7112[],5,FALSE))</f>
        <v>//</v>
      </c>
      <c r="J154" s="145" t="str">
        <f xml:space="preserve"> VLOOKUP(bitand(表格4_711[[#This Row],[DEC]],8-1),表格2[],2,FALSE)</f>
        <v/>
      </c>
      <c r="K154" s="144" t="str">
        <f>CONCATENATE(表格4_711[[#This Row],[反應]],表格4_711[[#This Row],[補正]]," = ",表格4_711[[#This Row],[DEC]],",")</f>
        <v>// = 152,</v>
      </c>
      <c r="L15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55" spans="2:12" x14ac:dyDescent="0.25">
      <c r="B155" s="99">
        <f t="shared" si="5"/>
        <v>153</v>
      </c>
      <c r="C155" s="125" t="str">
        <f>DEC2BIN(表格4_711[[#This Row],[DEC]]/2^($A$1-COLUMN()),3)</f>
        <v>100</v>
      </c>
      <c r="D155" s="126">
        <f>IF(ISODD( INT(表格4_711[[#This Row],[DEC]]/(2^($A$1-COLUMN())))),1,0)</f>
        <v>1</v>
      </c>
      <c r="E155" s="126">
        <f>IF(ISODD( INT(表格4_711[[#This Row],[DEC]]/(2^($A$1-COLUMN())))),1,0)</f>
        <v>1</v>
      </c>
      <c r="F155" s="127">
        <f>IF(ISODD( INT(表格4_711[[#This Row],[DEC]]/(2^($A$1-COLUMN())))),1,0)</f>
        <v>0</v>
      </c>
      <c r="G155" s="126">
        <f>IF(ISODD( INT(表格4_711[[#This Row],[DEC]]/(2^($A$1-COLUMN())))),1,0)</f>
        <v>0</v>
      </c>
      <c r="H155" s="126">
        <f>IF(ISODD( INT(表格4_711[[#This Row],[DEC]]/(2^($A$1-COLUMN())))),1,0)</f>
        <v>1</v>
      </c>
      <c r="I155" s="179" t="str">
        <f xml:space="preserve"> IF(bitand(表格4_711[[#This Row],[DEC]],7)&lt;1,"//", VLOOKUP(INT(表格4_711[[#This Row],[DEC]]/8),表格4_7112[],5,FALSE))</f>
        <v>Frostbite</v>
      </c>
      <c r="J155" s="133" t="str">
        <f xml:space="preserve"> VLOOKUP(bitand(表格4_711[[#This Row],[DEC]],8-1),表格2[],2,FALSE)</f>
        <v/>
      </c>
      <c r="K155" s="133" t="str">
        <f>CONCATENATE(表格4_711[[#This Row],[反應]],表格4_711[[#This Row],[補正]]," = ",表格4_711[[#This Row],[DEC]],",")</f>
        <v>Frostbite = 153,</v>
      </c>
      <c r="L155" s="13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傷",</v>
      </c>
    </row>
    <row r="156" spans="2:12" x14ac:dyDescent="0.25">
      <c r="B156" s="99">
        <f t="shared" si="5"/>
        <v>154</v>
      </c>
      <c r="C156" s="125" t="str">
        <f>DEC2BIN(表格4_711[[#This Row],[DEC]]/2^($A$1-COLUMN()),3)</f>
        <v>100</v>
      </c>
      <c r="D156" s="126">
        <f>IF(ISODD( INT(表格4_711[[#This Row],[DEC]]/(2^($A$1-COLUMN())))),1,0)</f>
        <v>1</v>
      </c>
      <c r="E156" s="126">
        <f>IF(ISODD( INT(表格4_711[[#This Row],[DEC]]/(2^($A$1-COLUMN())))),1,0)</f>
        <v>1</v>
      </c>
      <c r="F156" s="127">
        <f>IF(ISODD( INT(表格4_711[[#This Row],[DEC]]/(2^($A$1-COLUMN())))),1,0)</f>
        <v>0</v>
      </c>
      <c r="G156" s="126">
        <f>IF(ISODD( INT(表格4_711[[#This Row],[DEC]]/(2^($A$1-COLUMN())))),1,0)</f>
        <v>1</v>
      </c>
      <c r="H156" s="126">
        <f>IF(ISODD( INT(表格4_711[[#This Row],[DEC]]/(2^($A$1-COLUMN())))),1,0)</f>
        <v>0</v>
      </c>
      <c r="I156" s="210" t="str">
        <f xml:space="preserve"> IF(bitand(表格4_711[[#This Row],[DEC]],7)&lt;1,"//", VLOOKUP(INT(表格4_711[[#This Row],[DEC]]/8),表格4_7112[],5,FALSE))</f>
        <v>Frostbite</v>
      </c>
      <c r="J156" s="207" t="str">
        <f xml:space="preserve"> VLOOKUP(bitand(表格4_711[[#This Row],[DEC]],8-1),表格2[],2,FALSE)</f>
        <v>_Clear</v>
      </c>
      <c r="K156" s="167" t="str">
        <f>CONCATENATE(表格4_711[[#This Row],[反應]],表格4_711[[#This Row],[補正]]," = ",表格4_711[[#This Row],[DEC]],",")</f>
        <v>Frostbite_Clear = 154,</v>
      </c>
      <c r="L1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傷_解除",</v>
      </c>
    </row>
    <row r="157" spans="2:12" x14ac:dyDescent="0.25">
      <c r="B157" s="99">
        <f t="shared" si="5"/>
        <v>155</v>
      </c>
      <c r="C157" s="125" t="str">
        <f>DEC2BIN(表格4_711[[#This Row],[DEC]]/2^($A$1-COLUMN()),3)</f>
        <v>100</v>
      </c>
      <c r="D157" s="126">
        <f>IF(ISODD( INT(表格4_711[[#This Row],[DEC]]/(2^($A$1-COLUMN())))),1,0)</f>
        <v>1</v>
      </c>
      <c r="E157" s="126">
        <f>IF(ISODD( INT(表格4_711[[#This Row],[DEC]]/(2^($A$1-COLUMN())))),1,0)</f>
        <v>1</v>
      </c>
      <c r="F157" s="127">
        <f>IF(ISODD( INT(表格4_711[[#This Row],[DEC]]/(2^($A$1-COLUMN())))),1,0)</f>
        <v>0</v>
      </c>
      <c r="G157" s="126">
        <f>IF(ISODD( INT(表格4_711[[#This Row],[DEC]]/(2^($A$1-COLUMN())))),1,0)</f>
        <v>1</v>
      </c>
      <c r="H157" s="126">
        <f>IF(ISODD( INT(表格4_711[[#This Row],[DEC]]/(2^($A$1-COLUMN())))),1,0)</f>
        <v>1</v>
      </c>
      <c r="I157" s="211" t="str">
        <f xml:space="preserve"> IF(bitand(表格4_711[[#This Row],[DEC]],7)&lt;1,"//", VLOOKUP(INT(表格4_711[[#This Row],[DEC]]/8),表格4_7112[],5,FALSE))</f>
        <v>Frostbite</v>
      </c>
      <c r="J157" s="208" t="str">
        <f xml:space="preserve"> VLOOKUP(bitand(表格4_711[[#This Row],[DEC]],8-1),表格2[],2,FALSE)</f>
        <v>_Spread</v>
      </c>
      <c r="K157" s="167" t="str">
        <f>CONCATENATE(表格4_711[[#This Row],[反應]],表格4_711[[#This Row],[補正]]," = ",表格4_711[[#This Row],[DEC]],",")</f>
        <v>Frostbite_Spread = 155,</v>
      </c>
      <c r="L1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傷_散播",</v>
      </c>
    </row>
    <row r="158" spans="2:12" x14ac:dyDescent="0.25">
      <c r="B158" s="99">
        <f t="shared" si="5"/>
        <v>156</v>
      </c>
      <c r="C158" s="125" t="str">
        <f>DEC2BIN(表格4_711[[#This Row],[DEC]]/2^($A$1-COLUMN()),3)</f>
        <v>100</v>
      </c>
      <c r="D158" s="126">
        <f>IF(ISODD( INT(表格4_711[[#This Row],[DEC]]/(2^($A$1-COLUMN())))),1,0)</f>
        <v>1</v>
      </c>
      <c r="E158" s="126">
        <f>IF(ISODD( INT(表格4_711[[#This Row],[DEC]]/(2^($A$1-COLUMN())))),1,0)</f>
        <v>1</v>
      </c>
      <c r="F158" s="127">
        <f>IF(ISODD( INT(表格4_711[[#This Row],[DEC]]/(2^($A$1-COLUMN())))),1,0)</f>
        <v>1</v>
      </c>
      <c r="G158" s="126">
        <f>IF(ISODD( INT(表格4_711[[#This Row],[DEC]]/(2^($A$1-COLUMN())))),1,0)</f>
        <v>0</v>
      </c>
      <c r="H158" s="126">
        <f>IF(ISODD( INT(表格4_711[[#This Row],[DEC]]/(2^($A$1-COLUMN())))),1,0)</f>
        <v>0</v>
      </c>
      <c r="I158" s="212" t="str">
        <f xml:space="preserve"> IF(bitand(表格4_711[[#This Row],[DEC]],7)&lt;1,"//", VLOOKUP(INT(表格4_711[[#This Row],[DEC]]/8),表格4_7112[],5,FALSE))</f>
        <v>Frostbite</v>
      </c>
      <c r="J158" s="147" t="str">
        <f xml:space="preserve"> VLOOKUP(bitand(表格4_711[[#This Row],[DEC]],8-1),表格2[],2,FALSE)</f>
        <v>_RangeDown</v>
      </c>
      <c r="K158" s="167" t="str">
        <f>CONCATENATE(表格4_711[[#This Row],[反應]],表格4_711[[#This Row],[補正]]," = ",表格4_711[[#This Row],[DEC]],",")</f>
        <v>Frostbite_RangeDown = 156,</v>
      </c>
      <c r="L15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傷_範圍降低",</v>
      </c>
    </row>
    <row r="159" spans="2:12" x14ac:dyDescent="0.25">
      <c r="B159" s="99">
        <f t="shared" si="5"/>
        <v>157</v>
      </c>
      <c r="C159" s="125" t="str">
        <f>DEC2BIN(表格4_711[[#This Row],[DEC]]/2^($A$1-COLUMN()),3)</f>
        <v>100</v>
      </c>
      <c r="D159" s="126">
        <f>IF(ISODD( INT(表格4_711[[#This Row],[DEC]]/(2^($A$1-COLUMN())))),1,0)</f>
        <v>1</v>
      </c>
      <c r="E159" s="126">
        <f>IF(ISODD( INT(表格4_711[[#This Row],[DEC]]/(2^($A$1-COLUMN())))),1,0)</f>
        <v>1</v>
      </c>
      <c r="F159" s="127">
        <f>IF(ISODD( INT(表格4_711[[#This Row],[DEC]]/(2^($A$1-COLUMN())))),1,0)</f>
        <v>1</v>
      </c>
      <c r="G159" s="126">
        <f>IF(ISODD( INT(表格4_711[[#This Row],[DEC]]/(2^($A$1-COLUMN())))),1,0)</f>
        <v>0</v>
      </c>
      <c r="H159" s="126">
        <f>IF(ISODD( INT(表格4_711[[#This Row],[DEC]]/(2^($A$1-COLUMN())))),1,0)</f>
        <v>1</v>
      </c>
      <c r="I159" s="212" t="str">
        <f xml:space="preserve"> IF(bitand(表格4_711[[#This Row],[DEC]],7)&lt;1,"//", VLOOKUP(INT(表格4_711[[#This Row],[DEC]]/8),表格4_7112[],5,FALSE))</f>
        <v>Frostbite</v>
      </c>
      <c r="J159" s="147" t="str">
        <f xml:space="preserve"> VLOOKUP(bitand(表格4_711[[#This Row],[DEC]],8-1),表格2[],2,FALSE)</f>
        <v>_RangeUP</v>
      </c>
      <c r="K159" s="167" t="str">
        <f>CONCATENATE(表格4_711[[#This Row],[反應]],表格4_711[[#This Row],[補正]]," = ",表格4_711[[#This Row],[DEC]],",")</f>
        <v>Frostbite_RangeUP = 157,</v>
      </c>
      <c r="L15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傷_範圍提昇",</v>
      </c>
    </row>
    <row r="160" spans="2:12" x14ac:dyDescent="0.25">
      <c r="B160" s="99">
        <f t="shared" si="5"/>
        <v>158</v>
      </c>
      <c r="C160" s="125" t="str">
        <f>DEC2BIN(表格4_711[[#This Row],[DEC]]/2^($A$1-COLUMN()),3)</f>
        <v>100</v>
      </c>
      <c r="D160" s="126">
        <f>IF(ISODD( INT(表格4_711[[#This Row],[DEC]]/(2^($A$1-COLUMN())))),1,0)</f>
        <v>1</v>
      </c>
      <c r="E160" s="126">
        <f>IF(ISODD( INT(表格4_711[[#This Row],[DEC]]/(2^($A$1-COLUMN())))),1,0)</f>
        <v>1</v>
      </c>
      <c r="F160" s="127">
        <f>IF(ISODD( INT(表格4_711[[#This Row],[DEC]]/(2^($A$1-COLUMN())))),1,0)</f>
        <v>1</v>
      </c>
      <c r="G160" s="126">
        <f>IF(ISODD( INT(表格4_711[[#This Row],[DEC]]/(2^($A$1-COLUMN())))),1,0)</f>
        <v>1</v>
      </c>
      <c r="H160" s="126">
        <f>IF(ISODD( INT(表格4_711[[#This Row],[DEC]]/(2^($A$1-COLUMN())))),1,0)</f>
        <v>0</v>
      </c>
      <c r="I160" s="212" t="str">
        <f xml:space="preserve"> IF(bitand(表格4_711[[#This Row],[DEC]],7)&lt;1,"//", VLOOKUP(INT(表格4_711[[#This Row],[DEC]]/8),表格4_7112[],5,FALSE))</f>
        <v>Frostbite</v>
      </c>
      <c r="J160" s="147" t="str">
        <f xml:space="preserve"> VLOOKUP(bitand(表格4_711[[#This Row],[DEC]],8-1),表格2[],2,FALSE)</f>
        <v>_IntensityDown</v>
      </c>
      <c r="K160" s="167" t="str">
        <f>CONCATENATE(表格4_711[[#This Row],[反應]],表格4_711[[#This Row],[補正]]," = ",表格4_711[[#This Row],[DEC]],",")</f>
        <v>Frostbite_IntensityDown = 158,</v>
      </c>
      <c r="L16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傷_強度降低",</v>
      </c>
    </row>
    <row r="161" spans="2:12" x14ac:dyDescent="0.25">
      <c r="B161" s="99">
        <f t="shared" si="5"/>
        <v>159</v>
      </c>
      <c r="C161" s="125" t="str">
        <f>DEC2BIN(表格4_711[[#This Row],[DEC]]/2^($A$1-COLUMN()),3)</f>
        <v>100</v>
      </c>
      <c r="D161" s="126">
        <f>IF(ISODD( INT(表格4_711[[#This Row],[DEC]]/(2^($A$1-COLUMN())))),1,0)</f>
        <v>1</v>
      </c>
      <c r="E161" s="126">
        <f>IF(ISODD( INT(表格4_711[[#This Row],[DEC]]/(2^($A$1-COLUMN())))),1,0)</f>
        <v>1</v>
      </c>
      <c r="F161" s="127">
        <f>IF(ISODD( INT(表格4_711[[#This Row],[DEC]]/(2^($A$1-COLUMN())))),1,0)</f>
        <v>1</v>
      </c>
      <c r="G161" s="126">
        <f>IF(ISODD( INT(表格4_711[[#This Row],[DEC]]/(2^($A$1-COLUMN())))),1,0)</f>
        <v>1</v>
      </c>
      <c r="H161" s="126">
        <f>IF(ISODD( INT(表格4_711[[#This Row],[DEC]]/(2^($A$1-COLUMN())))),1,0)</f>
        <v>1</v>
      </c>
      <c r="I161" s="212" t="str">
        <f xml:space="preserve"> IF(bitand(表格4_711[[#This Row],[DEC]],7)&lt;1,"//", VLOOKUP(INT(表格4_711[[#This Row],[DEC]]/8),表格4_7112[],5,FALSE))</f>
        <v>Frostbite</v>
      </c>
      <c r="J161" s="147" t="str">
        <f xml:space="preserve"> VLOOKUP(bitand(表格4_711[[#This Row],[DEC]],8-1),表格2[],2,FALSE)</f>
        <v>_IntensityUp</v>
      </c>
      <c r="K161" s="167" t="str">
        <f>CONCATENATE(表格4_711[[#This Row],[反應]],表格4_711[[#This Row],[補正]]," = ",表格4_711[[#This Row],[DEC]],",")</f>
        <v>Frostbite_IntensityUp = 159,</v>
      </c>
      <c r="L16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傷_強度提昇",</v>
      </c>
    </row>
    <row r="162" spans="2:12" x14ac:dyDescent="0.25">
      <c r="B162" s="99">
        <f t="shared" si="5"/>
        <v>160</v>
      </c>
      <c r="C162" s="125" t="str">
        <f>DEC2BIN(表格4_711[[#This Row],[DEC]]/2^($A$1-COLUMN()),3)</f>
        <v>101</v>
      </c>
      <c r="D162" s="126">
        <f>IF(ISODD( INT(表格4_711[[#This Row],[DEC]]/(2^($A$1-COLUMN())))),1,0)</f>
        <v>0</v>
      </c>
      <c r="E162" s="126">
        <f>IF(ISODD( INT(表格4_711[[#This Row],[DEC]]/(2^($A$1-COLUMN())))),1,0)</f>
        <v>0</v>
      </c>
      <c r="F162" s="127">
        <f>IF(ISODD( INT(表格4_711[[#This Row],[DEC]]/(2^($A$1-COLUMN())))),1,0)</f>
        <v>0</v>
      </c>
      <c r="G162" s="126">
        <f>IF(ISODD( INT(表格4_711[[#This Row],[DEC]]/(2^($A$1-COLUMN())))),1,0)</f>
        <v>0</v>
      </c>
      <c r="H162" s="126">
        <f>IF(ISODD( INT(表格4_711[[#This Row],[DEC]]/(2^($A$1-COLUMN())))),1,0)</f>
        <v>0</v>
      </c>
      <c r="I162" s="192" t="str">
        <f xml:space="preserve"> IF(bitand(表格4_711[[#This Row],[DEC]],7)&lt;1,"//", VLOOKUP(INT(表格4_711[[#This Row],[DEC]]/8),表格4_7112[],5,FALSE))</f>
        <v>//</v>
      </c>
      <c r="J162" s="145" t="str">
        <f xml:space="preserve"> VLOOKUP(bitand(表格4_711[[#This Row],[DEC]],8-1),表格2[],2,FALSE)</f>
        <v/>
      </c>
      <c r="K162" s="144" t="str">
        <f>CONCATENATE(表格4_711[[#This Row],[反應]],表格4_711[[#This Row],[補正]]," = ",表格4_711[[#This Row],[DEC]],",")</f>
        <v>// = 160,</v>
      </c>
      <c r="L16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63" spans="2:12" x14ac:dyDescent="0.25">
      <c r="B163" s="99">
        <f t="shared" si="5"/>
        <v>161</v>
      </c>
      <c r="C163" s="125" t="str">
        <f>DEC2BIN(表格4_711[[#This Row],[DEC]]/2^($A$1-COLUMN()),3)</f>
        <v>101</v>
      </c>
      <c r="D163" s="126">
        <f>IF(ISODD( INT(表格4_711[[#This Row],[DEC]]/(2^($A$1-COLUMN())))),1,0)</f>
        <v>0</v>
      </c>
      <c r="E163" s="126">
        <f>IF(ISODD( INT(表格4_711[[#This Row],[DEC]]/(2^($A$1-COLUMN())))),1,0)</f>
        <v>0</v>
      </c>
      <c r="F163" s="127">
        <f>IF(ISODD( INT(表格4_711[[#This Row],[DEC]]/(2^($A$1-COLUMN())))),1,0)</f>
        <v>0</v>
      </c>
      <c r="G163" s="126">
        <f>IF(ISODD( INT(表格4_711[[#This Row],[DEC]]/(2^($A$1-COLUMN())))),1,0)</f>
        <v>0</v>
      </c>
      <c r="H163" s="126">
        <f>IF(ISODD( INT(表格4_711[[#This Row],[DEC]]/(2^($A$1-COLUMN())))),1,0)</f>
        <v>1</v>
      </c>
      <c r="I163" s="180" t="str">
        <f xml:space="preserve"> IF(bitand(表格4_711[[#This Row],[DEC]],7)&lt;1,"//", VLOOKUP(INT(表格4_711[[#This Row],[DEC]]/8),表格4_7112[],5,FALSE))</f>
        <v>//ID20</v>
      </c>
      <c r="J163" s="134" t="str">
        <f xml:space="preserve"> VLOOKUP(bitand(表格4_711[[#This Row],[DEC]],8-1),表格2[],2,FALSE)</f>
        <v/>
      </c>
      <c r="K163" s="134" t="str">
        <f>CONCATENATE(表格4_711[[#This Row],[反應]],表格4_711[[#This Row],[補正]]," = ",表格4_711[[#This Row],[DEC]],",")</f>
        <v>//ID20 = 161,</v>
      </c>
      <c r="L163" s="13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應20",</v>
      </c>
    </row>
    <row r="164" spans="2:12" x14ac:dyDescent="0.25">
      <c r="B164" s="99">
        <f t="shared" si="5"/>
        <v>162</v>
      </c>
      <c r="C164" s="125" t="str">
        <f>DEC2BIN(表格4_711[[#This Row],[DEC]]/2^($A$1-COLUMN()),3)</f>
        <v>101</v>
      </c>
      <c r="D164" s="126">
        <f>IF(ISODD( INT(表格4_711[[#This Row],[DEC]]/(2^($A$1-COLUMN())))),1,0)</f>
        <v>0</v>
      </c>
      <c r="E164" s="126">
        <f>IF(ISODD( INT(表格4_711[[#This Row],[DEC]]/(2^($A$1-COLUMN())))),1,0)</f>
        <v>0</v>
      </c>
      <c r="F164" s="127">
        <f>IF(ISODD( INT(表格4_711[[#This Row],[DEC]]/(2^($A$1-COLUMN())))),1,0)</f>
        <v>0</v>
      </c>
      <c r="G164" s="126">
        <f>IF(ISODD( INT(表格4_711[[#This Row],[DEC]]/(2^($A$1-COLUMN())))),1,0)</f>
        <v>1</v>
      </c>
      <c r="H164" s="126">
        <f>IF(ISODD( INT(表格4_711[[#This Row],[DEC]]/(2^($A$1-COLUMN())))),1,0)</f>
        <v>0</v>
      </c>
      <c r="I164" s="210" t="str">
        <f xml:space="preserve"> IF(bitand(表格4_711[[#This Row],[DEC]],7)&lt;1,"//", VLOOKUP(INT(表格4_711[[#This Row],[DEC]]/8),表格4_7112[],5,FALSE))</f>
        <v>//ID20</v>
      </c>
      <c r="J164" s="207" t="str">
        <f xml:space="preserve"> VLOOKUP(bitand(表格4_711[[#This Row],[DEC]],8-1),表格2[],2,FALSE)</f>
        <v>_Clear</v>
      </c>
      <c r="K164" s="167" t="str">
        <f>CONCATENATE(表格4_711[[#This Row],[反應]],表格4_711[[#This Row],[補正]]," = ",表格4_711[[#This Row],[DEC]],",")</f>
        <v>//ID20_Clear = 162,</v>
      </c>
      <c r="L16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應20_解除",</v>
      </c>
    </row>
    <row r="165" spans="2:12" x14ac:dyDescent="0.25">
      <c r="B165" s="99">
        <f t="shared" si="5"/>
        <v>163</v>
      </c>
      <c r="C165" s="125" t="str">
        <f>DEC2BIN(表格4_711[[#This Row],[DEC]]/2^($A$1-COLUMN()),3)</f>
        <v>101</v>
      </c>
      <c r="D165" s="126">
        <f>IF(ISODD( INT(表格4_711[[#This Row],[DEC]]/(2^($A$1-COLUMN())))),1,0)</f>
        <v>0</v>
      </c>
      <c r="E165" s="126">
        <f>IF(ISODD( INT(表格4_711[[#This Row],[DEC]]/(2^($A$1-COLUMN())))),1,0)</f>
        <v>0</v>
      </c>
      <c r="F165" s="127">
        <f>IF(ISODD( INT(表格4_711[[#This Row],[DEC]]/(2^($A$1-COLUMN())))),1,0)</f>
        <v>0</v>
      </c>
      <c r="G165" s="126">
        <f>IF(ISODD( INT(表格4_711[[#This Row],[DEC]]/(2^($A$1-COLUMN())))),1,0)</f>
        <v>1</v>
      </c>
      <c r="H165" s="126">
        <f>IF(ISODD( INT(表格4_711[[#This Row],[DEC]]/(2^($A$1-COLUMN())))),1,0)</f>
        <v>1</v>
      </c>
      <c r="I165" s="213" t="str">
        <f xml:space="preserve"> IF(bitand(表格4_711[[#This Row],[DEC]],7)&lt;1,"//", VLOOKUP(INT(表格4_711[[#This Row],[DEC]]/8),表格4_7112[],5,FALSE))</f>
        <v>//ID20</v>
      </c>
      <c r="J165" s="208" t="str">
        <f xml:space="preserve"> VLOOKUP(bitand(表格4_711[[#This Row],[DEC]],8-1),表格2[],2,FALSE)</f>
        <v>_Spread</v>
      </c>
      <c r="K165" s="167" t="str">
        <f>CONCATENATE(表格4_711[[#This Row],[反應]],表格4_711[[#This Row],[補正]]," = ",表格4_711[[#This Row],[DEC]],",")</f>
        <v>//ID20_Spread = 163,</v>
      </c>
      <c r="L16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應20_散播",</v>
      </c>
    </row>
    <row r="166" spans="2:12" x14ac:dyDescent="0.25">
      <c r="B166" s="99">
        <f t="shared" si="5"/>
        <v>164</v>
      </c>
      <c r="C166" s="125" t="str">
        <f>DEC2BIN(表格4_711[[#This Row],[DEC]]/2^($A$1-COLUMN()),3)</f>
        <v>101</v>
      </c>
      <c r="D166" s="126">
        <f>IF(ISODD( INT(表格4_711[[#This Row],[DEC]]/(2^($A$1-COLUMN())))),1,0)</f>
        <v>0</v>
      </c>
      <c r="E166" s="126">
        <f>IF(ISODD( INT(表格4_711[[#This Row],[DEC]]/(2^($A$1-COLUMN())))),1,0)</f>
        <v>0</v>
      </c>
      <c r="F166" s="127">
        <f>IF(ISODD( INT(表格4_711[[#This Row],[DEC]]/(2^($A$1-COLUMN())))),1,0)</f>
        <v>1</v>
      </c>
      <c r="G166" s="126">
        <f>IF(ISODD( INT(表格4_711[[#This Row],[DEC]]/(2^($A$1-COLUMN())))),1,0)</f>
        <v>0</v>
      </c>
      <c r="H166" s="126">
        <f>IF(ISODD( INT(表格4_711[[#This Row],[DEC]]/(2^($A$1-COLUMN())))),1,0)</f>
        <v>0</v>
      </c>
      <c r="I166" s="212" t="str">
        <f xml:space="preserve"> IF(bitand(表格4_711[[#This Row],[DEC]],7)&lt;1,"//", VLOOKUP(INT(表格4_711[[#This Row],[DEC]]/8),表格4_7112[],5,FALSE))</f>
        <v>//ID20</v>
      </c>
      <c r="J166" s="147" t="str">
        <f xml:space="preserve"> VLOOKUP(bitand(表格4_711[[#This Row],[DEC]],8-1),表格2[],2,FALSE)</f>
        <v>_RangeDown</v>
      </c>
      <c r="K166" s="167" t="str">
        <f>CONCATENATE(表格4_711[[#This Row],[反應]],表格4_711[[#This Row],[補正]]," = ",表格4_711[[#This Row],[DEC]],",")</f>
        <v>//ID20_RangeDown = 164,</v>
      </c>
      <c r="L16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應20_範圍降低",</v>
      </c>
    </row>
    <row r="167" spans="2:12" x14ac:dyDescent="0.25">
      <c r="B167" s="99">
        <f t="shared" si="5"/>
        <v>165</v>
      </c>
      <c r="C167" s="125" t="str">
        <f>DEC2BIN(表格4_711[[#This Row],[DEC]]/2^($A$1-COLUMN()),3)</f>
        <v>101</v>
      </c>
      <c r="D167" s="126">
        <f>IF(ISODD( INT(表格4_711[[#This Row],[DEC]]/(2^($A$1-COLUMN())))),1,0)</f>
        <v>0</v>
      </c>
      <c r="E167" s="126">
        <f>IF(ISODD( INT(表格4_711[[#This Row],[DEC]]/(2^($A$1-COLUMN())))),1,0)</f>
        <v>0</v>
      </c>
      <c r="F167" s="127">
        <f>IF(ISODD( INT(表格4_711[[#This Row],[DEC]]/(2^($A$1-COLUMN())))),1,0)</f>
        <v>1</v>
      </c>
      <c r="G167" s="126">
        <f>IF(ISODD( INT(表格4_711[[#This Row],[DEC]]/(2^($A$1-COLUMN())))),1,0)</f>
        <v>0</v>
      </c>
      <c r="H167" s="126">
        <f>IF(ISODD( INT(表格4_711[[#This Row],[DEC]]/(2^($A$1-COLUMN())))),1,0)</f>
        <v>1</v>
      </c>
      <c r="I167" s="212" t="str">
        <f xml:space="preserve"> IF(bitand(表格4_711[[#This Row],[DEC]],7)&lt;1,"//", VLOOKUP(INT(表格4_711[[#This Row],[DEC]]/8),表格4_7112[],5,FALSE))</f>
        <v>//ID20</v>
      </c>
      <c r="J167" s="147" t="str">
        <f xml:space="preserve"> VLOOKUP(bitand(表格4_711[[#This Row],[DEC]],8-1),表格2[],2,FALSE)</f>
        <v>_RangeUP</v>
      </c>
      <c r="K167" s="167" t="str">
        <f>CONCATENATE(表格4_711[[#This Row],[反應]],表格4_711[[#This Row],[補正]]," = ",表格4_711[[#This Row],[DEC]],",")</f>
        <v>//ID20_RangeUP = 165,</v>
      </c>
      <c r="L16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應20_範圍提昇",</v>
      </c>
    </row>
    <row r="168" spans="2:12" x14ac:dyDescent="0.25">
      <c r="B168" s="99">
        <f t="shared" si="5"/>
        <v>166</v>
      </c>
      <c r="C168" s="125" t="str">
        <f>DEC2BIN(表格4_711[[#This Row],[DEC]]/2^($A$1-COLUMN()),3)</f>
        <v>101</v>
      </c>
      <c r="D168" s="126">
        <f>IF(ISODD( INT(表格4_711[[#This Row],[DEC]]/(2^($A$1-COLUMN())))),1,0)</f>
        <v>0</v>
      </c>
      <c r="E168" s="126">
        <f>IF(ISODD( INT(表格4_711[[#This Row],[DEC]]/(2^($A$1-COLUMN())))),1,0)</f>
        <v>0</v>
      </c>
      <c r="F168" s="127">
        <f>IF(ISODD( INT(表格4_711[[#This Row],[DEC]]/(2^($A$1-COLUMN())))),1,0)</f>
        <v>1</v>
      </c>
      <c r="G168" s="126">
        <f>IF(ISODD( INT(表格4_711[[#This Row],[DEC]]/(2^($A$1-COLUMN())))),1,0)</f>
        <v>1</v>
      </c>
      <c r="H168" s="126">
        <f>IF(ISODD( INT(表格4_711[[#This Row],[DEC]]/(2^($A$1-COLUMN())))),1,0)</f>
        <v>0</v>
      </c>
      <c r="I168" s="212" t="str">
        <f xml:space="preserve"> IF(bitand(表格4_711[[#This Row],[DEC]],7)&lt;1,"//", VLOOKUP(INT(表格4_711[[#This Row],[DEC]]/8),表格4_7112[],5,FALSE))</f>
        <v>//ID20</v>
      </c>
      <c r="J168" s="147" t="str">
        <f xml:space="preserve"> VLOOKUP(bitand(表格4_711[[#This Row],[DEC]],8-1),表格2[],2,FALSE)</f>
        <v>_IntensityDown</v>
      </c>
      <c r="K168" s="167" t="str">
        <f>CONCATENATE(表格4_711[[#This Row],[反應]],表格4_711[[#This Row],[補正]]," = ",表格4_711[[#This Row],[DEC]],",")</f>
        <v>//ID20_IntensityDown = 166,</v>
      </c>
      <c r="L16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應20_強度降低",</v>
      </c>
    </row>
    <row r="169" spans="2:12" x14ac:dyDescent="0.25">
      <c r="B169" s="99">
        <f t="shared" si="5"/>
        <v>167</v>
      </c>
      <c r="C169" s="125" t="str">
        <f>DEC2BIN(表格4_711[[#This Row],[DEC]]/2^($A$1-COLUMN()),3)</f>
        <v>101</v>
      </c>
      <c r="D169" s="126">
        <f>IF(ISODD( INT(表格4_711[[#This Row],[DEC]]/(2^($A$1-COLUMN())))),1,0)</f>
        <v>0</v>
      </c>
      <c r="E169" s="126">
        <f>IF(ISODD( INT(表格4_711[[#This Row],[DEC]]/(2^($A$1-COLUMN())))),1,0)</f>
        <v>0</v>
      </c>
      <c r="F169" s="127">
        <f>IF(ISODD( INT(表格4_711[[#This Row],[DEC]]/(2^($A$1-COLUMN())))),1,0)</f>
        <v>1</v>
      </c>
      <c r="G169" s="126">
        <f>IF(ISODD( INT(表格4_711[[#This Row],[DEC]]/(2^($A$1-COLUMN())))),1,0)</f>
        <v>1</v>
      </c>
      <c r="H169" s="126">
        <f>IF(ISODD( INT(表格4_711[[#This Row],[DEC]]/(2^($A$1-COLUMN())))),1,0)</f>
        <v>1</v>
      </c>
      <c r="I169" s="212" t="str">
        <f xml:space="preserve"> IF(bitand(表格4_711[[#This Row],[DEC]],7)&lt;1,"//", VLOOKUP(INT(表格4_711[[#This Row],[DEC]]/8),表格4_7112[],5,FALSE))</f>
        <v>//ID20</v>
      </c>
      <c r="J169" s="147" t="str">
        <f xml:space="preserve"> VLOOKUP(bitand(表格4_711[[#This Row],[DEC]],8-1),表格2[],2,FALSE)</f>
        <v>_IntensityUp</v>
      </c>
      <c r="K169" s="167" t="str">
        <f>CONCATENATE(表格4_711[[#This Row],[反應]],表格4_711[[#This Row],[補正]]," = ",表格4_711[[#This Row],[DEC]],",")</f>
        <v>//ID20_IntensityUp = 167,</v>
      </c>
      <c r="L16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應20_強度提昇",</v>
      </c>
    </row>
    <row r="170" spans="2:12" x14ac:dyDescent="0.25">
      <c r="B170" s="99">
        <f t="shared" si="5"/>
        <v>168</v>
      </c>
      <c r="C170" s="125" t="str">
        <f>DEC2BIN(表格4_711[[#This Row],[DEC]]/2^($A$1-COLUMN()),3)</f>
        <v>101</v>
      </c>
      <c r="D170" s="126">
        <f>IF(ISODD( INT(表格4_711[[#This Row],[DEC]]/(2^($A$1-COLUMN())))),1,0)</f>
        <v>0</v>
      </c>
      <c r="E170" s="126">
        <f>IF(ISODD( INT(表格4_711[[#This Row],[DEC]]/(2^($A$1-COLUMN())))),1,0)</f>
        <v>1</v>
      </c>
      <c r="F170" s="127">
        <f>IF(ISODD( INT(表格4_711[[#This Row],[DEC]]/(2^($A$1-COLUMN())))),1,0)</f>
        <v>0</v>
      </c>
      <c r="G170" s="126">
        <f>IF(ISODD( INT(表格4_711[[#This Row],[DEC]]/(2^($A$1-COLUMN())))),1,0)</f>
        <v>0</v>
      </c>
      <c r="H170" s="126">
        <f>IF(ISODD( INT(表格4_711[[#This Row],[DEC]]/(2^($A$1-COLUMN())))),1,0)</f>
        <v>0</v>
      </c>
      <c r="I170" s="192" t="str">
        <f xml:space="preserve"> IF(bitand(表格4_711[[#This Row],[DEC]],7)&lt;1,"//", VLOOKUP(INT(表格4_711[[#This Row],[DEC]]/8),表格4_7112[],5,FALSE))</f>
        <v>//</v>
      </c>
      <c r="J170" s="145" t="str">
        <f xml:space="preserve"> VLOOKUP(bitand(表格4_711[[#This Row],[DEC]],8-1),表格2[],2,FALSE)</f>
        <v/>
      </c>
      <c r="K170" s="144" t="str">
        <f>CONCATENATE(表格4_711[[#This Row],[反應]],表格4_711[[#This Row],[補正]]," = ",表格4_711[[#This Row],[DEC]],",")</f>
        <v>// = 168,</v>
      </c>
      <c r="L17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71" spans="2:12" x14ac:dyDescent="0.25">
      <c r="B171" s="99">
        <f t="shared" si="5"/>
        <v>169</v>
      </c>
      <c r="C171" s="125" t="str">
        <f>DEC2BIN(表格4_711[[#This Row],[DEC]]/2^($A$1-COLUMN()),3)</f>
        <v>101</v>
      </c>
      <c r="D171" s="126">
        <f>IF(ISODD( INT(表格4_711[[#This Row],[DEC]]/(2^($A$1-COLUMN())))),1,0)</f>
        <v>0</v>
      </c>
      <c r="E171" s="126">
        <f>IF(ISODD( INT(表格4_711[[#This Row],[DEC]]/(2^($A$1-COLUMN())))),1,0)</f>
        <v>1</v>
      </c>
      <c r="F171" s="127">
        <f>IF(ISODD( INT(表格4_711[[#This Row],[DEC]]/(2^($A$1-COLUMN())))),1,0)</f>
        <v>0</v>
      </c>
      <c r="G171" s="126">
        <f>IF(ISODD( INT(表格4_711[[#This Row],[DEC]]/(2^($A$1-COLUMN())))),1,0)</f>
        <v>0</v>
      </c>
      <c r="H171" s="126">
        <f>IF(ISODD( INT(表格4_711[[#This Row],[DEC]]/(2^($A$1-COLUMN())))),1,0)</f>
        <v>1</v>
      </c>
      <c r="I171" s="181" t="str">
        <f xml:space="preserve"> IF(bitand(表格4_711[[#This Row],[DEC]],7)&lt;1,"//", VLOOKUP(INT(表格4_711[[#This Row],[DEC]]/8),表格4_7112[],5,FALSE))</f>
        <v>//ID21</v>
      </c>
      <c r="J171" s="174" t="str">
        <f xml:space="preserve"> VLOOKUP(bitand(表格4_711[[#This Row],[DEC]],8-1),表格2[],2,FALSE)</f>
        <v/>
      </c>
      <c r="K171" s="174" t="str">
        <f>CONCATENATE(表格4_711[[#This Row],[反應]],表格4_711[[#This Row],[補正]]," = ",表格4_711[[#This Row],[DEC]],",")</f>
        <v>//ID21 = 169,</v>
      </c>
      <c r="L171" s="17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應21",</v>
      </c>
    </row>
    <row r="172" spans="2:12" x14ac:dyDescent="0.25">
      <c r="B172" s="99">
        <f t="shared" si="5"/>
        <v>170</v>
      </c>
      <c r="C172" s="125" t="str">
        <f>DEC2BIN(表格4_711[[#This Row],[DEC]]/2^($A$1-COLUMN()),3)</f>
        <v>101</v>
      </c>
      <c r="D172" s="126">
        <f>IF(ISODD( INT(表格4_711[[#This Row],[DEC]]/(2^($A$1-COLUMN())))),1,0)</f>
        <v>0</v>
      </c>
      <c r="E172" s="126">
        <f>IF(ISODD( INT(表格4_711[[#This Row],[DEC]]/(2^($A$1-COLUMN())))),1,0)</f>
        <v>1</v>
      </c>
      <c r="F172" s="127">
        <f>IF(ISODD( INT(表格4_711[[#This Row],[DEC]]/(2^($A$1-COLUMN())))),1,0)</f>
        <v>0</v>
      </c>
      <c r="G172" s="126">
        <f>IF(ISODD( INT(表格4_711[[#This Row],[DEC]]/(2^($A$1-COLUMN())))),1,0)</f>
        <v>1</v>
      </c>
      <c r="H172" s="126">
        <f>IF(ISODD( INT(表格4_711[[#This Row],[DEC]]/(2^($A$1-COLUMN())))),1,0)</f>
        <v>0</v>
      </c>
      <c r="I172" s="210" t="str">
        <f xml:space="preserve"> IF(bitand(表格4_711[[#This Row],[DEC]],7)&lt;1,"//", VLOOKUP(INT(表格4_711[[#This Row],[DEC]]/8),表格4_7112[],5,FALSE))</f>
        <v>//ID21</v>
      </c>
      <c r="J172" s="207" t="str">
        <f xml:space="preserve"> VLOOKUP(bitand(表格4_711[[#This Row],[DEC]],8-1),表格2[],2,FALSE)</f>
        <v>_Clear</v>
      </c>
      <c r="K172" s="167" t="str">
        <f>CONCATENATE(表格4_711[[#This Row],[反應]],表格4_711[[#This Row],[補正]]," = ",表格4_711[[#This Row],[DEC]],",")</f>
        <v>//ID21_Clear = 170,</v>
      </c>
      <c r="L17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應21_解除",</v>
      </c>
    </row>
    <row r="173" spans="2:12" x14ac:dyDescent="0.25">
      <c r="B173" s="57">
        <f t="shared" si="5"/>
        <v>171</v>
      </c>
      <c r="C173" s="122" t="str">
        <f>DEC2BIN(表格4_711[[#This Row],[DEC]]/2^($A$1-COLUMN()),3)</f>
        <v>101</v>
      </c>
      <c r="D173" s="123">
        <f>IF(ISODD( INT(表格4_711[[#This Row],[DEC]]/(2^($A$1-COLUMN())))),1,0)</f>
        <v>0</v>
      </c>
      <c r="E173" s="123">
        <f>IF(ISODD( INT(表格4_711[[#This Row],[DEC]]/(2^($A$1-COLUMN())))),1,0)</f>
        <v>1</v>
      </c>
      <c r="F173" s="124">
        <f>IF(ISODD( INT(表格4_711[[#This Row],[DEC]]/(2^($A$1-COLUMN())))),1,0)</f>
        <v>0</v>
      </c>
      <c r="G173" s="123">
        <f>IF(ISODD( INT(表格4_711[[#This Row],[DEC]]/(2^($A$1-COLUMN())))),1,0)</f>
        <v>1</v>
      </c>
      <c r="H173" s="123">
        <f>IF(ISODD( INT(表格4_711[[#This Row],[DEC]]/(2^($A$1-COLUMN())))),1,0)</f>
        <v>1</v>
      </c>
      <c r="I173" s="213" t="str">
        <f xml:space="preserve"> IF(bitand(表格4_711[[#This Row],[DEC]],7)&lt;1,"//", VLOOKUP(INT(表格4_711[[#This Row],[DEC]]/8),表格4_7112[],5,FALSE))</f>
        <v>//ID21</v>
      </c>
      <c r="J173" s="208" t="str">
        <f xml:space="preserve"> VLOOKUP(bitand(表格4_711[[#This Row],[DEC]],8-1),表格2[],2,FALSE)</f>
        <v>_Spread</v>
      </c>
      <c r="K173" s="168" t="str">
        <f>CONCATENATE(表格4_711[[#This Row],[反應]],表格4_711[[#This Row],[補正]]," = ",表格4_711[[#This Row],[DEC]],",")</f>
        <v>//ID21_Spread = 171,</v>
      </c>
      <c r="L17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應21_散播",</v>
      </c>
    </row>
    <row r="174" spans="2:12" x14ac:dyDescent="0.25">
      <c r="B174" s="99">
        <f t="shared" ref="B174:B205" si="6">ROW()-2</f>
        <v>172</v>
      </c>
      <c r="C174" s="125" t="str">
        <f>DEC2BIN(表格4_711[[#This Row],[DEC]]/2^($A$1-COLUMN()),3)</f>
        <v>101</v>
      </c>
      <c r="D174" s="126">
        <f>IF(ISODD( INT(表格4_711[[#This Row],[DEC]]/(2^($A$1-COLUMN())))),1,0)</f>
        <v>0</v>
      </c>
      <c r="E174" s="126">
        <f>IF(ISODD( INT(表格4_711[[#This Row],[DEC]]/(2^($A$1-COLUMN())))),1,0)</f>
        <v>1</v>
      </c>
      <c r="F174" s="127">
        <f>IF(ISODD( INT(表格4_711[[#This Row],[DEC]]/(2^($A$1-COLUMN())))),1,0)</f>
        <v>1</v>
      </c>
      <c r="G174" s="126">
        <f>IF(ISODD( INT(表格4_711[[#This Row],[DEC]]/(2^($A$1-COLUMN())))),1,0)</f>
        <v>0</v>
      </c>
      <c r="H174" s="126">
        <f>IF(ISODD( INT(表格4_711[[#This Row],[DEC]]/(2^($A$1-COLUMN())))),1,0)</f>
        <v>0</v>
      </c>
      <c r="I174" s="212" t="str">
        <f xml:space="preserve"> IF(bitand(表格4_711[[#This Row],[DEC]],7)&lt;1,"//", VLOOKUP(INT(表格4_711[[#This Row],[DEC]]/8),表格4_7112[],5,FALSE))</f>
        <v>//ID21</v>
      </c>
      <c r="J174" s="147" t="str">
        <f xml:space="preserve"> VLOOKUP(bitand(表格4_711[[#This Row],[DEC]],8-1),表格2[],2,FALSE)</f>
        <v>_RangeDown</v>
      </c>
      <c r="K174" s="167" t="str">
        <f>CONCATENATE(表格4_711[[#This Row],[反應]],表格4_711[[#This Row],[補正]]," = ",表格4_711[[#This Row],[DEC]],",")</f>
        <v>//ID21_RangeDown = 172,</v>
      </c>
      <c r="L17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應21_範圍降低",</v>
      </c>
    </row>
    <row r="175" spans="2:12" x14ac:dyDescent="0.25">
      <c r="B175" s="99">
        <f t="shared" si="6"/>
        <v>173</v>
      </c>
      <c r="C175" s="125" t="str">
        <f>DEC2BIN(表格4_711[[#This Row],[DEC]]/2^($A$1-COLUMN()),3)</f>
        <v>101</v>
      </c>
      <c r="D175" s="126">
        <f>IF(ISODD( INT(表格4_711[[#This Row],[DEC]]/(2^($A$1-COLUMN())))),1,0)</f>
        <v>0</v>
      </c>
      <c r="E175" s="126">
        <f>IF(ISODD( INT(表格4_711[[#This Row],[DEC]]/(2^($A$1-COLUMN())))),1,0)</f>
        <v>1</v>
      </c>
      <c r="F175" s="127">
        <f>IF(ISODD( INT(表格4_711[[#This Row],[DEC]]/(2^($A$1-COLUMN())))),1,0)</f>
        <v>1</v>
      </c>
      <c r="G175" s="126">
        <f>IF(ISODD( INT(表格4_711[[#This Row],[DEC]]/(2^($A$1-COLUMN())))),1,0)</f>
        <v>0</v>
      </c>
      <c r="H175" s="126">
        <f>IF(ISODD( INT(表格4_711[[#This Row],[DEC]]/(2^($A$1-COLUMN())))),1,0)</f>
        <v>1</v>
      </c>
      <c r="I175" s="212" t="str">
        <f xml:space="preserve"> IF(bitand(表格4_711[[#This Row],[DEC]],7)&lt;1,"//", VLOOKUP(INT(表格4_711[[#This Row],[DEC]]/8),表格4_7112[],5,FALSE))</f>
        <v>//ID21</v>
      </c>
      <c r="J175" s="147" t="str">
        <f xml:space="preserve"> VLOOKUP(bitand(表格4_711[[#This Row],[DEC]],8-1),表格2[],2,FALSE)</f>
        <v>_RangeUP</v>
      </c>
      <c r="K175" s="167" t="str">
        <f>CONCATENATE(表格4_711[[#This Row],[反應]],表格4_711[[#This Row],[補正]]," = ",表格4_711[[#This Row],[DEC]],",")</f>
        <v>//ID21_RangeUP = 173,</v>
      </c>
      <c r="L17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應21_範圍提昇",</v>
      </c>
    </row>
    <row r="176" spans="2:12" x14ac:dyDescent="0.25">
      <c r="B176" s="99">
        <f t="shared" si="6"/>
        <v>174</v>
      </c>
      <c r="C176" s="125" t="str">
        <f>DEC2BIN(表格4_711[[#This Row],[DEC]]/2^($A$1-COLUMN()),3)</f>
        <v>101</v>
      </c>
      <c r="D176" s="126">
        <f>IF(ISODD( INT(表格4_711[[#This Row],[DEC]]/(2^($A$1-COLUMN())))),1,0)</f>
        <v>0</v>
      </c>
      <c r="E176" s="126">
        <f>IF(ISODD( INT(表格4_711[[#This Row],[DEC]]/(2^($A$1-COLUMN())))),1,0)</f>
        <v>1</v>
      </c>
      <c r="F176" s="127">
        <f>IF(ISODD( INT(表格4_711[[#This Row],[DEC]]/(2^($A$1-COLUMN())))),1,0)</f>
        <v>1</v>
      </c>
      <c r="G176" s="126">
        <f>IF(ISODD( INT(表格4_711[[#This Row],[DEC]]/(2^($A$1-COLUMN())))),1,0)</f>
        <v>1</v>
      </c>
      <c r="H176" s="126">
        <f>IF(ISODD( INT(表格4_711[[#This Row],[DEC]]/(2^($A$1-COLUMN())))),1,0)</f>
        <v>0</v>
      </c>
      <c r="I176" s="212" t="str">
        <f xml:space="preserve"> IF(bitand(表格4_711[[#This Row],[DEC]],7)&lt;1,"//", VLOOKUP(INT(表格4_711[[#This Row],[DEC]]/8),表格4_7112[],5,FALSE))</f>
        <v>//ID21</v>
      </c>
      <c r="J176" s="147" t="str">
        <f xml:space="preserve"> VLOOKUP(bitand(表格4_711[[#This Row],[DEC]],8-1),表格2[],2,FALSE)</f>
        <v>_IntensityDown</v>
      </c>
      <c r="K176" s="167" t="str">
        <f>CONCATENATE(表格4_711[[#This Row],[反應]],表格4_711[[#This Row],[補正]]," = ",表格4_711[[#This Row],[DEC]],",")</f>
        <v>//ID21_IntensityDown = 174,</v>
      </c>
      <c r="L17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應21_強度降低",</v>
      </c>
    </row>
    <row r="177" spans="2:12" x14ac:dyDescent="0.25">
      <c r="B177" s="99">
        <f t="shared" si="6"/>
        <v>175</v>
      </c>
      <c r="C177" s="125" t="str">
        <f>DEC2BIN(表格4_711[[#This Row],[DEC]]/2^($A$1-COLUMN()),3)</f>
        <v>101</v>
      </c>
      <c r="D177" s="126">
        <f>IF(ISODD( INT(表格4_711[[#This Row],[DEC]]/(2^($A$1-COLUMN())))),1,0)</f>
        <v>0</v>
      </c>
      <c r="E177" s="126">
        <f>IF(ISODD( INT(表格4_711[[#This Row],[DEC]]/(2^($A$1-COLUMN())))),1,0)</f>
        <v>1</v>
      </c>
      <c r="F177" s="127">
        <f>IF(ISODD( INT(表格4_711[[#This Row],[DEC]]/(2^($A$1-COLUMN())))),1,0)</f>
        <v>1</v>
      </c>
      <c r="G177" s="126">
        <f>IF(ISODD( INT(表格4_711[[#This Row],[DEC]]/(2^($A$1-COLUMN())))),1,0)</f>
        <v>1</v>
      </c>
      <c r="H177" s="126">
        <f>IF(ISODD( INT(表格4_711[[#This Row],[DEC]]/(2^($A$1-COLUMN())))),1,0)</f>
        <v>1</v>
      </c>
      <c r="I177" s="212" t="str">
        <f xml:space="preserve"> IF(bitand(表格4_711[[#This Row],[DEC]],7)&lt;1,"//", VLOOKUP(INT(表格4_711[[#This Row],[DEC]]/8),表格4_7112[],5,FALSE))</f>
        <v>//ID21</v>
      </c>
      <c r="J177" s="147" t="str">
        <f xml:space="preserve"> VLOOKUP(bitand(表格4_711[[#This Row],[DEC]],8-1),表格2[],2,FALSE)</f>
        <v>_IntensityUp</v>
      </c>
      <c r="K177" s="167" t="str">
        <f>CONCATENATE(表格4_711[[#This Row],[反應]],表格4_711[[#This Row],[補正]]," = ",表格4_711[[#This Row],[DEC]],",")</f>
        <v>//ID21_IntensityUp = 175,</v>
      </c>
      <c r="L17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應21_強度提昇",</v>
      </c>
    </row>
    <row r="178" spans="2:12" x14ac:dyDescent="0.25">
      <c r="B178" s="99">
        <f t="shared" si="6"/>
        <v>176</v>
      </c>
      <c r="C178" s="125" t="str">
        <f>DEC2BIN(表格4_711[[#This Row],[DEC]]/2^($A$1-COLUMN()),3)</f>
        <v>101</v>
      </c>
      <c r="D178" s="126">
        <f>IF(ISODD( INT(表格4_711[[#This Row],[DEC]]/(2^($A$1-COLUMN())))),1,0)</f>
        <v>1</v>
      </c>
      <c r="E178" s="126">
        <f>IF(ISODD( INT(表格4_711[[#This Row],[DEC]]/(2^($A$1-COLUMN())))),1,0)</f>
        <v>0</v>
      </c>
      <c r="F178" s="127">
        <f>IF(ISODD( INT(表格4_711[[#This Row],[DEC]]/(2^($A$1-COLUMN())))),1,0)</f>
        <v>0</v>
      </c>
      <c r="G178" s="126">
        <f>IF(ISODD( INT(表格4_711[[#This Row],[DEC]]/(2^($A$1-COLUMN())))),1,0)</f>
        <v>0</v>
      </c>
      <c r="H178" s="126">
        <f>IF(ISODD( INT(表格4_711[[#This Row],[DEC]]/(2^($A$1-COLUMN())))),1,0)</f>
        <v>0</v>
      </c>
      <c r="I178" s="192" t="str">
        <f xml:space="preserve"> IF(bitand(表格4_711[[#This Row],[DEC]],7)&lt;1,"//", VLOOKUP(INT(表格4_711[[#This Row],[DEC]]/8),表格4_7112[],5,FALSE))</f>
        <v>//</v>
      </c>
      <c r="J178" s="145" t="str">
        <f xml:space="preserve"> VLOOKUP(bitand(表格4_711[[#This Row],[DEC]],8-1),表格2[],2,FALSE)</f>
        <v/>
      </c>
      <c r="K178" s="144" t="str">
        <f>CONCATENATE(表格4_711[[#This Row],[反應]],表格4_711[[#This Row],[補正]]," = ",表格4_711[[#This Row],[DEC]],",")</f>
        <v>// = 176,</v>
      </c>
      <c r="L17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79" spans="2:12" x14ac:dyDescent="0.25">
      <c r="B179" s="99">
        <f t="shared" si="6"/>
        <v>177</v>
      </c>
      <c r="C179" s="125" t="str">
        <f>DEC2BIN(表格4_711[[#This Row],[DEC]]/2^($A$1-COLUMN()),3)</f>
        <v>101</v>
      </c>
      <c r="D179" s="126">
        <f>IF(ISODD( INT(表格4_711[[#This Row],[DEC]]/(2^($A$1-COLUMN())))),1,0)</f>
        <v>1</v>
      </c>
      <c r="E179" s="126">
        <f>IF(ISODD( INT(表格4_711[[#This Row],[DEC]]/(2^($A$1-COLUMN())))),1,0)</f>
        <v>0</v>
      </c>
      <c r="F179" s="127">
        <f>IF(ISODD( INT(表格4_711[[#This Row],[DEC]]/(2^($A$1-COLUMN())))),1,0)</f>
        <v>0</v>
      </c>
      <c r="G179" s="126">
        <f>IF(ISODD( INT(表格4_711[[#This Row],[DEC]]/(2^($A$1-COLUMN())))),1,0)</f>
        <v>0</v>
      </c>
      <c r="H179" s="126">
        <f>IF(ISODD( INT(表格4_711[[#This Row],[DEC]]/(2^($A$1-COLUMN())))),1,0)</f>
        <v>1</v>
      </c>
      <c r="I179" s="182" t="str">
        <f xml:space="preserve"> IF(bitand(表格4_711[[#This Row],[DEC]],7)&lt;1,"//", VLOOKUP(INT(表格4_711[[#This Row],[DEC]]/8),表格4_7112[],5,FALSE))</f>
        <v>//ID22</v>
      </c>
      <c r="J179" s="175" t="str">
        <f xml:space="preserve"> VLOOKUP(bitand(表格4_711[[#This Row],[DEC]],8-1),表格2[],2,FALSE)</f>
        <v/>
      </c>
      <c r="K179" s="175" t="str">
        <f>CONCATENATE(表格4_711[[#This Row],[反應]],表格4_711[[#This Row],[補正]]," = ",表格4_711[[#This Row],[DEC]],",")</f>
        <v>//ID22 = 177,</v>
      </c>
      <c r="L179" s="17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應22",</v>
      </c>
    </row>
    <row r="180" spans="2:12" x14ac:dyDescent="0.25">
      <c r="B180" s="99">
        <f t="shared" si="6"/>
        <v>178</v>
      </c>
      <c r="C180" s="125" t="str">
        <f>DEC2BIN(表格4_711[[#This Row],[DEC]]/2^($A$1-COLUMN()),3)</f>
        <v>101</v>
      </c>
      <c r="D180" s="126">
        <f>IF(ISODD( INT(表格4_711[[#This Row],[DEC]]/(2^($A$1-COLUMN())))),1,0)</f>
        <v>1</v>
      </c>
      <c r="E180" s="126">
        <f>IF(ISODD( INT(表格4_711[[#This Row],[DEC]]/(2^($A$1-COLUMN())))),1,0)</f>
        <v>0</v>
      </c>
      <c r="F180" s="127">
        <f>IF(ISODD( INT(表格4_711[[#This Row],[DEC]]/(2^($A$1-COLUMN())))),1,0)</f>
        <v>0</v>
      </c>
      <c r="G180" s="126">
        <f>IF(ISODD( INT(表格4_711[[#This Row],[DEC]]/(2^($A$1-COLUMN())))),1,0)</f>
        <v>1</v>
      </c>
      <c r="H180" s="126">
        <f>IF(ISODD( INT(表格4_711[[#This Row],[DEC]]/(2^($A$1-COLUMN())))),1,0)</f>
        <v>0</v>
      </c>
      <c r="I180" s="210" t="str">
        <f xml:space="preserve"> IF(bitand(表格4_711[[#This Row],[DEC]],7)&lt;1,"//", VLOOKUP(INT(表格4_711[[#This Row],[DEC]]/8),表格4_7112[],5,FALSE))</f>
        <v>//ID22</v>
      </c>
      <c r="J180" s="207" t="str">
        <f xml:space="preserve"> VLOOKUP(bitand(表格4_711[[#This Row],[DEC]],8-1),表格2[],2,FALSE)</f>
        <v>_Clear</v>
      </c>
      <c r="K180" s="167" t="str">
        <f>CONCATENATE(表格4_711[[#This Row],[反應]],表格4_711[[#This Row],[補正]]," = ",表格4_711[[#This Row],[DEC]],",")</f>
        <v>//ID22_Clear = 178,</v>
      </c>
      <c r="L18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應22_解除",</v>
      </c>
    </row>
    <row r="181" spans="2:12" x14ac:dyDescent="0.25">
      <c r="B181" s="99">
        <f t="shared" si="6"/>
        <v>179</v>
      </c>
      <c r="C181" s="125" t="str">
        <f>DEC2BIN(表格4_711[[#This Row],[DEC]]/2^($A$1-COLUMN()),3)</f>
        <v>101</v>
      </c>
      <c r="D181" s="126">
        <f>IF(ISODD( INT(表格4_711[[#This Row],[DEC]]/(2^($A$1-COLUMN())))),1,0)</f>
        <v>1</v>
      </c>
      <c r="E181" s="126">
        <f>IF(ISODD( INT(表格4_711[[#This Row],[DEC]]/(2^($A$1-COLUMN())))),1,0)</f>
        <v>0</v>
      </c>
      <c r="F181" s="127">
        <f>IF(ISODD( INT(表格4_711[[#This Row],[DEC]]/(2^($A$1-COLUMN())))),1,0)</f>
        <v>0</v>
      </c>
      <c r="G181" s="126">
        <f>IF(ISODD( INT(表格4_711[[#This Row],[DEC]]/(2^($A$1-COLUMN())))),1,0)</f>
        <v>1</v>
      </c>
      <c r="H181" s="126">
        <f>IF(ISODD( INT(表格4_711[[#This Row],[DEC]]/(2^($A$1-COLUMN())))),1,0)</f>
        <v>1</v>
      </c>
      <c r="I181" s="213" t="str">
        <f xml:space="preserve"> IF(bitand(表格4_711[[#This Row],[DEC]],7)&lt;1,"//", VLOOKUP(INT(表格4_711[[#This Row],[DEC]]/8),表格4_7112[],5,FALSE))</f>
        <v>//ID22</v>
      </c>
      <c r="J181" s="208" t="str">
        <f xml:space="preserve"> VLOOKUP(bitand(表格4_711[[#This Row],[DEC]],8-1),表格2[],2,FALSE)</f>
        <v>_Spread</v>
      </c>
      <c r="K181" s="167" t="str">
        <f>CONCATENATE(表格4_711[[#This Row],[反應]],表格4_711[[#This Row],[補正]]," = ",表格4_711[[#This Row],[DEC]],",")</f>
        <v>//ID22_Spread = 179,</v>
      </c>
      <c r="L18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應22_散播",</v>
      </c>
    </row>
    <row r="182" spans="2:12" x14ac:dyDescent="0.25">
      <c r="B182" s="99">
        <f t="shared" si="6"/>
        <v>180</v>
      </c>
      <c r="C182" s="125" t="str">
        <f>DEC2BIN(表格4_711[[#This Row],[DEC]]/2^($A$1-COLUMN()),3)</f>
        <v>101</v>
      </c>
      <c r="D182" s="126">
        <f>IF(ISODD( INT(表格4_711[[#This Row],[DEC]]/(2^($A$1-COLUMN())))),1,0)</f>
        <v>1</v>
      </c>
      <c r="E182" s="126">
        <f>IF(ISODD( INT(表格4_711[[#This Row],[DEC]]/(2^($A$1-COLUMN())))),1,0)</f>
        <v>0</v>
      </c>
      <c r="F182" s="127">
        <f>IF(ISODD( INT(表格4_711[[#This Row],[DEC]]/(2^($A$1-COLUMN())))),1,0)</f>
        <v>1</v>
      </c>
      <c r="G182" s="126">
        <f>IF(ISODD( INT(表格4_711[[#This Row],[DEC]]/(2^($A$1-COLUMN())))),1,0)</f>
        <v>0</v>
      </c>
      <c r="H182" s="126">
        <f>IF(ISODD( INT(表格4_711[[#This Row],[DEC]]/(2^($A$1-COLUMN())))),1,0)</f>
        <v>0</v>
      </c>
      <c r="I182" s="212" t="str">
        <f xml:space="preserve"> IF(bitand(表格4_711[[#This Row],[DEC]],7)&lt;1,"//", VLOOKUP(INT(表格4_711[[#This Row],[DEC]]/8),表格4_7112[],5,FALSE))</f>
        <v>//ID22</v>
      </c>
      <c r="J182" s="147" t="str">
        <f xml:space="preserve"> VLOOKUP(bitand(表格4_711[[#This Row],[DEC]],8-1),表格2[],2,FALSE)</f>
        <v>_RangeDown</v>
      </c>
      <c r="K182" s="167" t="str">
        <f>CONCATENATE(表格4_711[[#This Row],[反應]],表格4_711[[#This Row],[補正]]," = ",表格4_711[[#This Row],[DEC]],",")</f>
        <v>//ID22_RangeDown = 180,</v>
      </c>
      <c r="L18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應22_範圍降低",</v>
      </c>
    </row>
    <row r="183" spans="2:12" x14ac:dyDescent="0.25">
      <c r="B183" s="99">
        <f t="shared" si="6"/>
        <v>181</v>
      </c>
      <c r="C183" s="125" t="str">
        <f>DEC2BIN(表格4_711[[#This Row],[DEC]]/2^($A$1-COLUMN()),3)</f>
        <v>101</v>
      </c>
      <c r="D183" s="126">
        <f>IF(ISODD( INT(表格4_711[[#This Row],[DEC]]/(2^($A$1-COLUMN())))),1,0)</f>
        <v>1</v>
      </c>
      <c r="E183" s="126">
        <f>IF(ISODD( INT(表格4_711[[#This Row],[DEC]]/(2^($A$1-COLUMN())))),1,0)</f>
        <v>0</v>
      </c>
      <c r="F183" s="127">
        <f>IF(ISODD( INT(表格4_711[[#This Row],[DEC]]/(2^($A$1-COLUMN())))),1,0)</f>
        <v>1</v>
      </c>
      <c r="G183" s="126">
        <f>IF(ISODD( INT(表格4_711[[#This Row],[DEC]]/(2^($A$1-COLUMN())))),1,0)</f>
        <v>0</v>
      </c>
      <c r="H183" s="126">
        <f>IF(ISODD( INT(表格4_711[[#This Row],[DEC]]/(2^($A$1-COLUMN())))),1,0)</f>
        <v>1</v>
      </c>
      <c r="I183" s="212" t="str">
        <f xml:space="preserve"> IF(bitand(表格4_711[[#This Row],[DEC]],7)&lt;1,"//", VLOOKUP(INT(表格4_711[[#This Row],[DEC]]/8),表格4_7112[],5,FALSE))</f>
        <v>//ID22</v>
      </c>
      <c r="J183" s="147" t="str">
        <f xml:space="preserve"> VLOOKUP(bitand(表格4_711[[#This Row],[DEC]],8-1),表格2[],2,FALSE)</f>
        <v>_RangeUP</v>
      </c>
      <c r="K183" s="167" t="str">
        <f>CONCATENATE(表格4_711[[#This Row],[反應]],表格4_711[[#This Row],[補正]]," = ",表格4_711[[#This Row],[DEC]],",")</f>
        <v>//ID22_RangeUP = 181,</v>
      </c>
      <c r="L18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應22_範圍提昇",</v>
      </c>
    </row>
    <row r="184" spans="2:12" x14ac:dyDescent="0.25">
      <c r="B184" s="99">
        <f t="shared" si="6"/>
        <v>182</v>
      </c>
      <c r="C184" s="125" t="str">
        <f>DEC2BIN(表格4_711[[#This Row],[DEC]]/2^($A$1-COLUMN()),3)</f>
        <v>101</v>
      </c>
      <c r="D184" s="126">
        <f>IF(ISODD( INT(表格4_711[[#This Row],[DEC]]/(2^($A$1-COLUMN())))),1,0)</f>
        <v>1</v>
      </c>
      <c r="E184" s="126">
        <f>IF(ISODD( INT(表格4_711[[#This Row],[DEC]]/(2^($A$1-COLUMN())))),1,0)</f>
        <v>0</v>
      </c>
      <c r="F184" s="127">
        <f>IF(ISODD( INT(表格4_711[[#This Row],[DEC]]/(2^($A$1-COLUMN())))),1,0)</f>
        <v>1</v>
      </c>
      <c r="G184" s="126">
        <f>IF(ISODD( INT(表格4_711[[#This Row],[DEC]]/(2^($A$1-COLUMN())))),1,0)</f>
        <v>1</v>
      </c>
      <c r="H184" s="126">
        <f>IF(ISODD( INT(表格4_711[[#This Row],[DEC]]/(2^($A$1-COLUMN())))),1,0)</f>
        <v>0</v>
      </c>
      <c r="I184" s="212" t="str">
        <f xml:space="preserve"> IF(bitand(表格4_711[[#This Row],[DEC]],7)&lt;1,"//", VLOOKUP(INT(表格4_711[[#This Row],[DEC]]/8),表格4_7112[],5,FALSE))</f>
        <v>//ID22</v>
      </c>
      <c r="J184" s="147" t="str">
        <f xml:space="preserve"> VLOOKUP(bitand(表格4_711[[#This Row],[DEC]],8-1),表格2[],2,FALSE)</f>
        <v>_IntensityDown</v>
      </c>
      <c r="K184" s="167" t="str">
        <f>CONCATENATE(表格4_711[[#This Row],[反應]],表格4_711[[#This Row],[補正]]," = ",表格4_711[[#This Row],[DEC]],",")</f>
        <v>//ID22_IntensityDown = 182,</v>
      </c>
      <c r="L18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應22_強度降低",</v>
      </c>
    </row>
    <row r="185" spans="2:12" x14ac:dyDescent="0.25">
      <c r="B185" s="99">
        <f t="shared" si="6"/>
        <v>183</v>
      </c>
      <c r="C185" s="125" t="str">
        <f>DEC2BIN(表格4_711[[#This Row],[DEC]]/2^($A$1-COLUMN()),3)</f>
        <v>101</v>
      </c>
      <c r="D185" s="126">
        <f>IF(ISODD( INT(表格4_711[[#This Row],[DEC]]/(2^($A$1-COLUMN())))),1,0)</f>
        <v>1</v>
      </c>
      <c r="E185" s="126">
        <f>IF(ISODD( INT(表格4_711[[#This Row],[DEC]]/(2^($A$1-COLUMN())))),1,0)</f>
        <v>0</v>
      </c>
      <c r="F185" s="127">
        <f>IF(ISODD( INT(表格4_711[[#This Row],[DEC]]/(2^($A$1-COLUMN())))),1,0)</f>
        <v>1</v>
      </c>
      <c r="G185" s="126">
        <f>IF(ISODD( INT(表格4_711[[#This Row],[DEC]]/(2^($A$1-COLUMN())))),1,0)</f>
        <v>1</v>
      </c>
      <c r="H185" s="126">
        <f>IF(ISODD( INT(表格4_711[[#This Row],[DEC]]/(2^($A$1-COLUMN())))),1,0)</f>
        <v>1</v>
      </c>
      <c r="I185" s="212" t="str">
        <f xml:space="preserve"> IF(bitand(表格4_711[[#This Row],[DEC]],7)&lt;1,"//", VLOOKUP(INT(表格4_711[[#This Row],[DEC]]/8),表格4_7112[],5,FALSE))</f>
        <v>//ID22</v>
      </c>
      <c r="J185" s="147" t="str">
        <f xml:space="preserve"> VLOOKUP(bitand(表格4_711[[#This Row],[DEC]],8-1),表格2[],2,FALSE)</f>
        <v>_IntensityUp</v>
      </c>
      <c r="K185" s="167" t="str">
        <f>CONCATENATE(表格4_711[[#This Row],[反應]],表格4_711[[#This Row],[補正]]," = ",表格4_711[[#This Row],[DEC]],",")</f>
        <v>//ID22_IntensityUp = 183,</v>
      </c>
      <c r="L18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應22_強度提昇",</v>
      </c>
    </row>
    <row r="186" spans="2:12" x14ac:dyDescent="0.25">
      <c r="B186" s="99">
        <f t="shared" si="6"/>
        <v>184</v>
      </c>
      <c r="C186" s="125" t="str">
        <f>DEC2BIN(表格4_711[[#This Row],[DEC]]/2^($A$1-COLUMN()),3)</f>
        <v>101</v>
      </c>
      <c r="D186" s="126">
        <f>IF(ISODD( INT(表格4_711[[#This Row],[DEC]]/(2^($A$1-COLUMN())))),1,0)</f>
        <v>1</v>
      </c>
      <c r="E186" s="126">
        <f>IF(ISODD( INT(表格4_711[[#This Row],[DEC]]/(2^($A$1-COLUMN())))),1,0)</f>
        <v>1</v>
      </c>
      <c r="F186" s="127">
        <f>IF(ISODD( INT(表格4_711[[#This Row],[DEC]]/(2^($A$1-COLUMN())))),1,0)</f>
        <v>0</v>
      </c>
      <c r="G186" s="126">
        <f>IF(ISODD( INT(表格4_711[[#This Row],[DEC]]/(2^($A$1-COLUMN())))),1,0)</f>
        <v>0</v>
      </c>
      <c r="H186" s="126">
        <f>IF(ISODD( INT(表格4_711[[#This Row],[DEC]]/(2^($A$1-COLUMN())))),1,0)</f>
        <v>0</v>
      </c>
      <c r="I186" s="192" t="str">
        <f xml:space="preserve"> IF(bitand(表格4_711[[#This Row],[DEC]],7)&lt;1,"//", VLOOKUP(INT(表格4_711[[#This Row],[DEC]]/8),表格4_7112[],5,FALSE))</f>
        <v>//</v>
      </c>
      <c r="J186" s="145" t="str">
        <f xml:space="preserve"> VLOOKUP(bitand(表格4_711[[#This Row],[DEC]],8-1),表格2[],2,FALSE)</f>
        <v/>
      </c>
      <c r="K186" s="144" t="str">
        <f>CONCATENATE(表格4_711[[#This Row],[反應]],表格4_711[[#This Row],[補正]]," = ",表格4_711[[#This Row],[DEC]],",")</f>
        <v>// = 184,</v>
      </c>
      <c r="L18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87" spans="2:12" x14ac:dyDescent="0.25">
      <c r="B187" s="99">
        <f t="shared" si="6"/>
        <v>185</v>
      </c>
      <c r="C187" s="125" t="str">
        <f>DEC2BIN(表格4_711[[#This Row],[DEC]]/2^($A$1-COLUMN()),3)</f>
        <v>101</v>
      </c>
      <c r="D187" s="126">
        <f>IF(ISODD( INT(表格4_711[[#This Row],[DEC]]/(2^($A$1-COLUMN())))),1,0)</f>
        <v>1</v>
      </c>
      <c r="E187" s="126">
        <f>IF(ISODD( INT(表格4_711[[#This Row],[DEC]]/(2^($A$1-COLUMN())))),1,0)</f>
        <v>1</v>
      </c>
      <c r="F187" s="127">
        <f>IF(ISODD( INT(表格4_711[[#This Row],[DEC]]/(2^($A$1-COLUMN())))),1,0)</f>
        <v>0</v>
      </c>
      <c r="G187" s="126">
        <f>IF(ISODD( INT(表格4_711[[#This Row],[DEC]]/(2^($A$1-COLUMN())))),1,0)</f>
        <v>0</v>
      </c>
      <c r="H187" s="126">
        <f>IF(ISODD( INT(表格4_711[[#This Row],[DEC]]/(2^($A$1-COLUMN())))),1,0)</f>
        <v>1</v>
      </c>
      <c r="I187" s="183" t="str">
        <f xml:space="preserve"> IF(bitand(表格4_711[[#This Row],[DEC]],7)&lt;1,"//", VLOOKUP(INT(表格4_711[[#This Row],[DEC]]/8),表格4_7112[],5,FALSE))</f>
        <v>//ID23</v>
      </c>
      <c r="J187" s="135" t="str">
        <f xml:space="preserve"> VLOOKUP(bitand(表格4_711[[#This Row],[DEC]],8-1),表格2[],2,FALSE)</f>
        <v/>
      </c>
      <c r="K187" s="135" t="str">
        <f>CONCATENATE(表格4_711[[#This Row],[反應]],表格4_711[[#This Row],[補正]]," = ",表格4_711[[#This Row],[DEC]],",")</f>
        <v>//ID23 = 185,</v>
      </c>
      <c r="L187" s="13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應23",</v>
      </c>
    </row>
    <row r="188" spans="2:12" x14ac:dyDescent="0.25">
      <c r="B188" s="99">
        <f t="shared" si="6"/>
        <v>186</v>
      </c>
      <c r="C188" s="125" t="str">
        <f>DEC2BIN(表格4_711[[#This Row],[DEC]]/2^($A$1-COLUMN()),3)</f>
        <v>101</v>
      </c>
      <c r="D188" s="126">
        <f>IF(ISODD( INT(表格4_711[[#This Row],[DEC]]/(2^($A$1-COLUMN())))),1,0)</f>
        <v>1</v>
      </c>
      <c r="E188" s="126">
        <f>IF(ISODD( INT(表格4_711[[#This Row],[DEC]]/(2^($A$1-COLUMN())))),1,0)</f>
        <v>1</v>
      </c>
      <c r="F188" s="127">
        <f>IF(ISODD( INT(表格4_711[[#This Row],[DEC]]/(2^($A$1-COLUMN())))),1,0)</f>
        <v>0</v>
      </c>
      <c r="G188" s="126">
        <f>IF(ISODD( INT(表格4_711[[#This Row],[DEC]]/(2^($A$1-COLUMN())))),1,0)</f>
        <v>1</v>
      </c>
      <c r="H188" s="126">
        <f>IF(ISODD( INT(表格4_711[[#This Row],[DEC]]/(2^($A$1-COLUMN())))),1,0)</f>
        <v>0</v>
      </c>
      <c r="I188" s="210" t="str">
        <f xml:space="preserve"> IF(bitand(表格4_711[[#This Row],[DEC]],7)&lt;1,"//", VLOOKUP(INT(表格4_711[[#This Row],[DEC]]/8),表格4_7112[],5,FALSE))</f>
        <v>//ID23</v>
      </c>
      <c r="J188" s="207" t="str">
        <f xml:space="preserve"> VLOOKUP(bitand(表格4_711[[#This Row],[DEC]],8-1),表格2[],2,FALSE)</f>
        <v>_Clear</v>
      </c>
      <c r="K188" s="167" t="str">
        <f>CONCATENATE(表格4_711[[#This Row],[反應]],表格4_711[[#This Row],[補正]]," = ",表格4_711[[#This Row],[DEC]],",")</f>
        <v>//ID23_Clear = 186,</v>
      </c>
      <c r="L18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應23_解除",</v>
      </c>
    </row>
    <row r="189" spans="2:12" x14ac:dyDescent="0.25">
      <c r="B189" s="99">
        <f t="shared" si="6"/>
        <v>187</v>
      </c>
      <c r="C189" s="125" t="str">
        <f>DEC2BIN(表格4_711[[#This Row],[DEC]]/2^($A$1-COLUMN()),3)</f>
        <v>101</v>
      </c>
      <c r="D189" s="126">
        <f>IF(ISODD( INT(表格4_711[[#This Row],[DEC]]/(2^($A$1-COLUMN())))),1,0)</f>
        <v>1</v>
      </c>
      <c r="E189" s="126">
        <f>IF(ISODD( INT(表格4_711[[#This Row],[DEC]]/(2^($A$1-COLUMN())))),1,0)</f>
        <v>1</v>
      </c>
      <c r="F189" s="127">
        <f>IF(ISODD( INT(表格4_711[[#This Row],[DEC]]/(2^($A$1-COLUMN())))),1,0)</f>
        <v>0</v>
      </c>
      <c r="G189" s="126">
        <f>IF(ISODD( INT(表格4_711[[#This Row],[DEC]]/(2^($A$1-COLUMN())))),1,0)</f>
        <v>1</v>
      </c>
      <c r="H189" s="126">
        <f>IF(ISODD( INT(表格4_711[[#This Row],[DEC]]/(2^($A$1-COLUMN())))),1,0)</f>
        <v>1</v>
      </c>
      <c r="I189" s="213" t="str">
        <f xml:space="preserve"> IF(bitand(表格4_711[[#This Row],[DEC]],7)&lt;1,"//", VLOOKUP(INT(表格4_711[[#This Row],[DEC]]/8),表格4_7112[],5,FALSE))</f>
        <v>//ID23</v>
      </c>
      <c r="J189" s="208" t="str">
        <f xml:space="preserve"> VLOOKUP(bitand(表格4_711[[#This Row],[DEC]],8-1),表格2[],2,FALSE)</f>
        <v>_Spread</v>
      </c>
      <c r="K189" s="167" t="str">
        <f>CONCATENATE(表格4_711[[#This Row],[反應]],表格4_711[[#This Row],[補正]]," = ",表格4_711[[#This Row],[DEC]],",")</f>
        <v>//ID23_Spread = 187,</v>
      </c>
      <c r="L18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應23_散播",</v>
      </c>
    </row>
    <row r="190" spans="2:12" x14ac:dyDescent="0.25">
      <c r="B190" s="99">
        <f t="shared" si="6"/>
        <v>188</v>
      </c>
      <c r="C190" s="125" t="str">
        <f>DEC2BIN(表格4_711[[#This Row],[DEC]]/2^($A$1-COLUMN()),3)</f>
        <v>101</v>
      </c>
      <c r="D190" s="126">
        <f>IF(ISODD( INT(表格4_711[[#This Row],[DEC]]/(2^($A$1-COLUMN())))),1,0)</f>
        <v>1</v>
      </c>
      <c r="E190" s="126">
        <f>IF(ISODD( INT(表格4_711[[#This Row],[DEC]]/(2^($A$1-COLUMN())))),1,0)</f>
        <v>1</v>
      </c>
      <c r="F190" s="127">
        <f>IF(ISODD( INT(表格4_711[[#This Row],[DEC]]/(2^($A$1-COLUMN())))),1,0)</f>
        <v>1</v>
      </c>
      <c r="G190" s="126">
        <f>IF(ISODD( INT(表格4_711[[#This Row],[DEC]]/(2^($A$1-COLUMN())))),1,0)</f>
        <v>0</v>
      </c>
      <c r="H190" s="126">
        <f>IF(ISODD( INT(表格4_711[[#This Row],[DEC]]/(2^($A$1-COLUMN())))),1,0)</f>
        <v>0</v>
      </c>
      <c r="I190" s="212" t="str">
        <f xml:space="preserve"> IF(bitand(表格4_711[[#This Row],[DEC]],7)&lt;1,"//", VLOOKUP(INT(表格4_711[[#This Row],[DEC]]/8),表格4_7112[],5,FALSE))</f>
        <v>//ID23</v>
      </c>
      <c r="J190" s="147" t="str">
        <f xml:space="preserve"> VLOOKUP(bitand(表格4_711[[#This Row],[DEC]],8-1),表格2[],2,FALSE)</f>
        <v>_RangeDown</v>
      </c>
      <c r="K190" s="167" t="str">
        <f>CONCATENATE(表格4_711[[#This Row],[反應]],表格4_711[[#This Row],[補正]]," = ",表格4_711[[#This Row],[DEC]],",")</f>
        <v>//ID23_RangeDown = 188,</v>
      </c>
      <c r="L19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應23_範圍降低",</v>
      </c>
    </row>
    <row r="191" spans="2:12" x14ac:dyDescent="0.25">
      <c r="B191" s="99">
        <f t="shared" si="6"/>
        <v>189</v>
      </c>
      <c r="C191" s="125" t="str">
        <f>DEC2BIN(表格4_711[[#This Row],[DEC]]/2^($A$1-COLUMN()),3)</f>
        <v>101</v>
      </c>
      <c r="D191" s="126">
        <f>IF(ISODD( INT(表格4_711[[#This Row],[DEC]]/(2^($A$1-COLUMN())))),1,0)</f>
        <v>1</v>
      </c>
      <c r="E191" s="126">
        <f>IF(ISODD( INT(表格4_711[[#This Row],[DEC]]/(2^($A$1-COLUMN())))),1,0)</f>
        <v>1</v>
      </c>
      <c r="F191" s="127">
        <f>IF(ISODD( INT(表格4_711[[#This Row],[DEC]]/(2^($A$1-COLUMN())))),1,0)</f>
        <v>1</v>
      </c>
      <c r="G191" s="126">
        <f>IF(ISODD( INT(表格4_711[[#This Row],[DEC]]/(2^($A$1-COLUMN())))),1,0)</f>
        <v>0</v>
      </c>
      <c r="H191" s="126">
        <f>IF(ISODD( INT(表格4_711[[#This Row],[DEC]]/(2^($A$1-COLUMN())))),1,0)</f>
        <v>1</v>
      </c>
      <c r="I191" s="212" t="str">
        <f xml:space="preserve"> IF(bitand(表格4_711[[#This Row],[DEC]],7)&lt;1,"//", VLOOKUP(INT(表格4_711[[#This Row],[DEC]]/8),表格4_7112[],5,FALSE))</f>
        <v>//ID23</v>
      </c>
      <c r="J191" s="147" t="str">
        <f xml:space="preserve"> VLOOKUP(bitand(表格4_711[[#This Row],[DEC]],8-1),表格2[],2,FALSE)</f>
        <v>_RangeUP</v>
      </c>
      <c r="K191" s="167" t="str">
        <f>CONCATENATE(表格4_711[[#This Row],[反應]],表格4_711[[#This Row],[補正]]," = ",表格4_711[[#This Row],[DEC]],",")</f>
        <v>//ID23_RangeUP = 189,</v>
      </c>
      <c r="L19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應23_範圍提昇",</v>
      </c>
    </row>
    <row r="192" spans="2:12" x14ac:dyDescent="0.25">
      <c r="B192" s="99">
        <f t="shared" si="6"/>
        <v>190</v>
      </c>
      <c r="C192" s="125" t="str">
        <f>DEC2BIN(表格4_711[[#This Row],[DEC]]/2^($A$1-COLUMN()),3)</f>
        <v>101</v>
      </c>
      <c r="D192" s="126">
        <f>IF(ISODD( INT(表格4_711[[#This Row],[DEC]]/(2^($A$1-COLUMN())))),1,0)</f>
        <v>1</v>
      </c>
      <c r="E192" s="126">
        <f>IF(ISODD( INT(表格4_711[[#This Row],[DEC]]/(2^($A$1-COLUMN())))),1,0)</f>
        <v>1</v>
      </c>
      <c r="F192" s="127">
        <f>IF(ISODD( INT(表格4_711[[#This Row],[DEC]]/(2^($A$1-COLUMN())))),1,0)</f>
        <v>1</v>
      </c>
      <c r="G192" s="126">
        <f>IF(ISODD( INT(表格4_711[[#This Row],[DEC]]/(2^($A$1-COLUMN())))),1,0)</f>
        <v>1</v>
      </c>
      <c r="H192" s="126">
        <f>IF(ISODD( INT(表格4_711[[#This Row],[DEC]]/(2^($A$1-COLUMN())))),1,0)</f>
        <v>0</v>
      </c>
      <c r="I192" s="212" t="str">
        <f xml:space="preserve"> IF(bitand(表格4_711[[#This Row],[DEC]],7)&lt;1,"//", VLOOKUP(INT(表格4_711[[#This Row],[DEC]]/8),表格4_7112[],5,FALSE))</f>
        <v>//ID23</v>
      </c>
      <c r="J192" s="147" t="str">
        <f xml:space="preserve"> VLOOKUP(bitand(表格4_711[[#This Row],[DEC]],8-1),表格2[],2,FALSE)</f>
        <v>_IntensityDown</v>
      </c>
      <c r="K192" s="167" t="str">
        <f>CONCATENATE(表格4_711[[#This Row],[反應]],表格4_711[[#This Row],[補正]]," = ",表格4_711[[#This Row],[DEC]],",")</f>
        <v>//ID23_IntensityDown = 190,</v>
      </c>
      <c r="L19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應23_強度降低",</v>
      </c>
    </row>
    <row r="193" spans="2:12" x14ac:dyDescent="0.25">
      <c r="B193" s="99">
        <f t="shared" si="6"/>
        <v>191</v>
      </c>
      <c r="C193" s="125" t="str">
        <f>DEC2BIN(表格4_711[[#This Row],[DEC]]/2^($A$1-COLUMN()),3)</f>
        <v>101</v>
      </c>
      <c r="D193" s="126">
        <f>IF(ISODD( INT(表格4_711[[#This Row],[DEC]]/(2^($A$1-COLUMN())))),1,0)</f>
        <v>1</v>
      </c>
      <c r="E193" s="126">
        <f>IF(ISODD( INT(表格4_711[[#This Row],[DEC]]/(2^($A$1-COLUMN())))),1,0)</f>
        <v>1</v>
      </c>
      <c r="F193" s="127">
        <f>IF(ISODD( INT(表格4_711[[#This Row],[DEC]]/(2^($A$1-COLUMN())))),1,0)</f>
        <v>1</v>
      </c>
      <c r="G193" s="126">
        <f>IF(ISODD( INT(表格4_711[[#This Row],[DEC]]/(2^($A$1-COLUMN())))),1,0)</f>
        <v>1</v>
      </c>
      <c r="H193" s="126">
        <f>IF(ISODD( INT(表格4_711[[#This Row],[DEC]]/(2^($A$1-COLUMN())))),1,0)</f>
        <v>1</v>
      </c>
      <c r="I193" s="212" t="str">
        <f xml:space="preserve"> IF(bitand(表格4_711[[#This Row],[DEC]],7)&lt;1,"//", VLOOKUP(INT(表格4_711[[#This Row],[DEC]]/8),表格4_7112[],5,FALSE))</f>
        <v>//ID23</v>
      </c>
      <c r="J193" s="147" t="str">
        <f xml:space="preserve"> VLOOKUP(bitand(表格4_711[[#This Row],[DEC]],8-1),表格2[],2,FALSE)</f>
        <v>_IntensityUp</v>
      </c>
      <c r="K193" s="167" t="str">
        <f>CONCATENATE(表格4_711[[#This Row],[反應]],表格4_711[[#This Row],[補正]]," = ",表格4_711[[#This Row],[DEC]],",")</f>
        <v>//ID23_IntensityUp = 191,</v>
      </c>
      <c r="L19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應23_強度提昇",</v>
      </c>
    </row>
    <row r="194" spans="2:12" x14ac:dyDescent="0.25">
      <c r="B194" s="99">
        <f t="shared" si="6"/>
        <v>192</v>
      </c>
      <c r="C194" s="125" t="str">
        <f>DEC2BIN(表格4_711[[#This Row],[DEC]]/2^($A$1-COLUMN()),3)</f>
        <v>110</v>
      </c>
      <c r="D194" s="126">
        <f>IF(ISODD( INT(表格4_711[[#This Row],[DEC]]/(2^($A$1-COLUMN())))),1,0)</f>
        <v>0</v>
      </c>
      <c r="E194" s="126">
        <f>IF(ISODD( INT(表格4_711[[#This Row],[DEC]]/(2^($A$1-COLUMN())))),1,0)</f>
        <v>0</v>
      </c>
      <c r="F194" s="127">
        <f>IF(ISODD( INT(表格4_711[[#This Row],[DEC]]/(2^($A$1-COLUMN())))),1,0)</f>
        <v>0</v>
      </c>
      <c r="G194" s="126">
        <f>IF(ISODD( INT(表格4_711[[#This Row],[DEC]]/(2^($A$1-COLUMN())))),1,0)</f>
        <v>0</v>
      </c>
      <c r="H194" s="126">
        <f>IF(ISODD( INT(表格4_711[[#This Row],[DEC]]/(2^($A$1-COLUMN())))),1,0)</f>
        <v>0</v>
      </c>
      <c r="I194" s="192" t="str">
        <f xml:space="preserve"> IF(bitand(表格4_711[[#This Row],[DEC]],7)&lt;1,"//", VLOOKUP(INT(表格4_711[[#This Row],[DEC]]/8),表格4_7112[],5,FALSE))</f>
        <v>//</v>
      </c>
      <c r="J194" s="145" t="str">
        <f xml:space="preserve"> VLOOKUP(bitand(表格4_711[[#This Row],[DEC]],8-1),表格2[],2,FALSE)</f>
        <v/>
      </c>
      <c r="K194" s="144" t="str">
        <f>CONCATENATE(表格4_711[[#This Row],[反應]],表格4_711[[#This Row],[補正]]," = ",表格4_711[[#This Row],[DEC]],",")</f>
        <v>// = 192,</v>
      </c>
      <c r="L19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95" spans="2:12" x14ac:dyDescent="0.25">
      <c r="B195" s="99">
        <f t="shared" si="6"/>
        <v>193</v>
      </c>
      <c r="C195" s="125" t="str">
        <f>DEC2BIN(表格4_711[[#This Row],[DEC]]/2^($A$1-COLUMN()),3)</f>
        <v>110</v>
      </c>
      <c r="D195" s="126">
        <f>IF(ISODD( INT(表格4_711[[#This Row],[DEC]]/(2^($A$1-COLUMN())))),1,0)</f>
        <v>0</v>
      </c>
      <c r="E195" s="126">
        <f>IF(ISODD( INT(表格4_711[[#This Row],[DEC]]/(2^($A$1-COLUMN())))),1,0)</f>
        <v>0</v>
      </c>
      <c r="F195" s="127">
        <f>IF(ISODD( INT(表格4_711[[#This Row],[DEC]]/(2^($A$1-COLUMN())))),1,0)</f>
        <v>0</v>
      </c>
      <c r="G195" s="126">
        <f>IF(ISODD( INT(表格4_711[[#This Row],[DEC]]/(2^($A$1-COLUMN())))),1,0)</f>
        <v>0</v>
      </c>
      <c r="H195" s="126">
        <f>IF(ISODD( INT(表格4_711[[#This Row],[DEC]]/(2^($A$1-COLUMN())))),1,0)</f>
        <v>1</v>
      </c>
      <c r="I195" s="184" t="str">
        <f xml:space="preserve"> IF(bitand(表格4_711[[#This Row],[DEC]],7)&lt;1,"//", VLOOKUP(INT(表格4_711[[#This Row],[DEC]]/8),表格4_7112[],5,FALSE))</f>
        <v>//ID24</v>
      </c>
      <c r="J195" s="136" t="str">
        <f xml:space="preserve"> VLOOKUP(bitand(表格4_711[[#This Row],[DEC]],8-1),表格2[],2,FALSE)</f>
        <v/>
      </c>
      <c r="K195" s="136" t="str">
        <f>CONCATENATE(表格4_711[[#This Row],[反應]],表格4_711[[#This Row],[補正]]," = ",表格4_711[[#This Row],[DEC]],",")</f>
        <v>//ID24 = 193,</v>
      </c>
      <c r="L195" s="136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應24",</v>
      </c>
    </row>
    <row r="196" spans="2:12" x14ac:dyDescent="0.25">
      <c r="B196" s="99">
        <f t="shared" si="6"/>
        <v>194</v>
      </c>
      <c r="C196" s="125" t="str">
        <f>DEC2BIN(表格4_711[[#This Row],[DEC]]/2^($A$1-COLUMN()),3)</f>
        <v>110</v>
      </c>
      <c r="D196" s="126">
        <f>IF(ISODD( INT(表格4_711[[#This Row],[DEC]]/(2^($A$1-COLUMN())))),1,0)</f>
        <v>0</v>
      </c>
      <c r="E196" s="126">
        <f>IF(ISODD( INT(表格4_711[[#This Row],[DEC]]/(2^($A$1-COLUMN())))),1,0)</f>
        <v>0</v>
      </c>
      <c r="F196" s="127">
        <f>IF(ISODD( INT(表格4_711[[#This Row],[DEC]]/(2^($A$1-COLUMN())))),1,0)</f>
        <v>0</v>
      </c>
      <c r="G196" s="126">
        <f>IF(ISODD( INT(表格4_711[[#This Row],[DEC]]/(2^($A$1-COLUMN())))),1,0)</f>
        <v>1</v>
      </c>
      <c r="H196" s="126">
        <f>IF(ISODD( INT(表格4_711[[#This Row],[DEC]]/(2^($A$1-COLUMN())))),1,0)</f>
        <v>0</v>
      </c>
      <c r="I196" s="210" t="str">
        <f xml:space="preserve"> IF(bitand(表格4_711[[#This Row],[DEC]],7)&lt;1,"//", VLOOKUP(INT(表格4_711[[#This Row],[DEC]]/8),表格4_7112[],5,FALSE))</f>
        <v>//ID24</v>
      </c>
      <c r="J196" s="207" t="str">
        <f xml:space="preserve"> VLOOKUP(bitand(表格4_711[[#This Row],[DEC]],8-1),表格2[],2,FALSE)</f>
        <v>_Clear</v>
      </c>
      <c r="K196" s="167" t="str">
        <f>CONCATENATE(表格4_711[[#This Row],[反應]],表格4_711[[#This Row],[補正]]," = ",表格4_711[[#This Row],[DEC]],",")</f>
        <v>//ID24_Clear = 194,</v>
      </c>
      <c r="L19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應24_解除",</v>
      </c>
    </row>
    <row r="197" spans="2:12" x14ac:dyDescent="0.25">
      <c r="B197" s="99">
        <f t="shared" si="6"/>
        <v>195</v>
      </c>
      <c r="C197" s="125" t="str">
        <f>DEC2BIN(表格4_711[[#This Row],[DEC]]/2^($A$1-COLUMN()),3)</f>
        <v>110</v>
      </c>
      <c r="D197" s="126">
        <f>IF(ISODD( INT(表格4_711[[#This Row],[DEC]]/(2^($A$1-COLUMN())))),1,0)</f>
        <v>0</v>
      </c>
      <c r="E197" s="126">
        <f>IF(ISODD( INT(表格4_711[[#This Row],[DEC]]/(2^($A$1-COLUMN())))),1,0)</f>
        <v>0</v>
      </c>
      <c r="F197" s="127">
        <f>IF(ISODD( INT(表格4_711[[#This Row],[DEC]]/(2^($A$1-COLUMN())))),1,0)</f>
        <v>0</v>
      </c>
      <c r="G197" s="126">
        <f>IF(ISODD( INT(表格4_711[[#This Row],[DEC]]/(2^($A$1-COLUMN())))),1,0)</f>
        <v>1</v>
      </c>
      <c r="H197" s="126">
        <f>IF(ISODD( INT(表格4_711[[#This Row],[DEC]]/(2^($A$1-COLUMN())))),1,0)</f>
        <v>1</v>
      </c>
      <c r="I197" s="211" t="str">
        <f xml:space="preserve"> IF(bitand(表格4_711[[#This Row],[DEC]],7)&lt;1,"//", VLOOKUP(INT(表格4_711[[#This Row],[DEC]]/8),表格4_7112[],5,FALSE))</f>
        <v>//ID24</v>
      </c>
      <c r="J197" s="208" t="str">
        <f xml:space="preserve"> VLOOKUP(bitand(表格4_711[[#This Row],[DEC]],8-1),表格2[],2,FALSE)</f>
        <v>_Spread</v>
      </c>
      <c r="K197" s="167" t="str">
        <f>CONCATENATE(表格4_711[[#This Row],[反應]],表格4_711[[#This Row],[補正]]," = ",表格4_711[[#This Row],[DEC]],",")</f>
        <v>//ID24_Spread = 195,</v>
      </c>
      <c r="L19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應24_散播",</v>
      </c>
    </row>
    <row r="198" spans="2:12" x14ac:dyDescent="0.25">
      <c r="B198" s="99">
        <f t="shared" si="6"/>
        <v>196</v>
      </c>
      <c r="C198" s="125" t="str">
        <f>DEC2BIN(表格4_711[[#This Row],[DEC]]/2^($A$1-COLUMN()),3)</f>
        <v>110</v>
      </c>
      <c r="D198" s="126">
        <f>IF(ISODD( INT(表格4_711[[#This Row],[DEC]]/(2^($A$1-COLUMN())))),1,0)</f>
        <v>0</v>
      </c>
      <c r="E198" s="126">
        <f>IF(ISODD( INT(表格4_711[[#This Row],[DEC]]/(2^($A$1-COLUMN())))),1,0)</f>
        <v>0</v>
      </c>
      <c r="F198" s="127">
        <f>IF(ISODD( INT(表格4_711[[#This Row],[DEC]]/(2^($A$1-COLUMN())))),1,0)</f>
        <v>1</v>
      </c>
      <c r="G198" s="126">
        <f>IF(ISODD( INT(表格4_711[[#This Row],[DEC]]/(2^($A$1-COLUMN())))),1,0)</f>
        <v>0</v>
      </c>
      <c r="H198" s="126">
        <f>IF(ISODD( INT(表格4_711[[#This Row],[DEC]]/(2^($A$1-COLUMN())))),1,0)</f>
        <v>0</v>
      </c>
      <c r="I198" s="212" t="str">
        <f xml:space="preserve"> IF(bitand(表格4_711[[#This Row],[DEC]],7)&lt;1,"//", VLOOKUP(INT(表格4_711[[#This Row],[DEC]]/8),表格4_7112[],5,FALSE))</f>
        <v>//ID24</v>
      </c>
      <c r="J198" s="147" t="str">
        <f xml:space="preserve"> VLOOKUP(bitand(表格4_711[[#This Row],[DEC]],8-1),表格2[],2,FALSE)</f>
        <v>_RangeDown</v>
      </c>
      <c r="K198" s="167" t="str">
        <f>CONCATENATE(表格4_711[[#This Row],[反應]],表格4_711[[#This Row],[補正]]," = ",表格4_711[[#This Row],[DEC]],",")</f>
        <v>//ID24_RangeDown = 196,</v>
      </c>
      <c r="L19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應24_範圍降低",</v>
      </c>
    </row>
    <row r="199" spans="2:12" x14ac:dyDescent="0.25">
      <c r="B199" s="99">
        <f t="shared" si="6"/>
        <v>197</v>
      </c>
      <c r="C199" s="125" t="str">
        <f>DEC2BIN(表格4_711[[#This Row],[DEC]]/2^($A$1-COLUMN()),3)</f>
        <v>110</v>
      </c>
      <c r="D199" s="126">
        <f>IF(ISODD( INT(表格4_711[[#This Row],[DEC]]/(2^($A$1-COLUMN())))),1,0)</f>
        <v>0</v>
      </c>
      <c r="E199" s="126">
        <f>IF(ISODD( INT(表格4_711[[#This Row],[DEC]]/(2^($A$1-COLUMN())))),1,0)</f>
        <v>0</v>
      </c>
      <c r="F199" s="127">
        <f>IF(ISODD( INT(表格4_711[[#This Row],[DEC]]/(2^($A$1-COLUMN())))),1,0)</f>
        <v>1</v>
      </c>
      <c r="G199" s="126">
        <f>IF(ISODD( INT(表格4_711[[#This Row],[DEC]]/(2^($A$1-COLUMN())))),1,0)</f>
        <v>0</v>
      </c>
      <c r="H199" s="126">
        <f>IF(ISODD( INT(表格4_711[[#This Row],[DEC]]/(2^($A$1-COLUMN())))),1,0)</f>
        <v>1</v>
      </c>
      <c r="I199" s="212" t="str">
        <f xml:space="preserve"> IF(bitand(表格4_711[[#This Row],[DEC]],7)&lt;1,"//", VLOOKUP(INT(表格4_711[[#This Row],[DEC]]/8),表格4_7112[],5,FALSE))</f>
        <v>//ID24</v>
      </c>
      <c r="J199" s="147" t="str">
        <f xml:space="preserve"> VLOOKUP(bitand(表格4_711[[#This Row],[DEC]],8-1),表格2[],2,FALSE)</f>
        <v>_RangeUP</v>
      </c>
      <c r="K199" s="167" t="str">
        <f>CONCATENATE(表格4_711[[#This Row],[反應]],表格4_711[[#This Row],[補正]]," = ",表格4_711[[#This Row],[DEC]],",")</f>
        <v>//ID24_RangeUP = 197,</v>
      </c>
      <c r="L19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應24_範圍提昇",</v>
      </c>
    </row>
    <row r="200" spans="2:12" x14ac:dyDescent="0.25">
      <c r="B200" s="99">
        <f t="shared" si="6"/>
        <v>198</v>
      </c>
      <c r="C200" s="125" t="str">
        <f>DEC2BIN(表格4_711[[#This Row],[DEC]]/2^($A$1-COLUMN()),3)</f>
        <v>110</v>
      </c>
      <c r="D200" s="126">
        <f>IF(ISODD( INT(表格4_711[[#This Row],[DEC]]/(2^($A$1-COLUMN())))),1,0)</f>
        <v>0</v>
      </c>
      <c r="E200" s="126">
        <f>IF(ISODD( INT(表格4_711[[#This Row],[DEC]]/(2^($A$1-COLUMN())))),1,0)</f>
        <v>0</v>
      </c>
      <c r="F200" s="127">
        <f>IF(ISODD( INT(表格4_711[[#This Row],[DEC]]/(2^($A$1-COLUMN())))),1,0)</f>
        <v>1</v>
      </c>
      <c r="G200" s="126">
        <f>IF(ISODD( INT(表格4_711[[#This Row],[DEC]]/(2^($A$1-COLUMN())))),1,0)</f>
        <v>1</v>
      </c>
      <c r="H200" s="126">
        <f>IF(ISODD( INT(表格4_711[[#This Row],[DEC]]/(2^($A$1-COLUMN())))),1,0)</f>
        <v>0</v>
      </c>
      <c r="I200" s="212" t="str">
        <f xml:space="preserve"> IF(bitand(表格4_711[[#This Row],[DEC]],7)&lt;1,"//", VLOOKUP(INT(表格4_711[[#This Row],[DEC]]/8),表格4_7112[],5,FALSE))</f>
        <v>//ID24</v>
      </c>
      <c r="J200" s="147" t="str">
        <f xml:space="preserve"> VLOOKUP(bitand(表格4_711[[#This Row],[DEC]],8-1),表格2[],2,FALSE)</f>
        <v>_IntensityDown</v>
      </c>
      <c r="K200" s="167" t="str">
        <f>CONCATENATE(表格4_711[[#This Row],[反應]],表格4_711[[#This Row],[補正]]," = ",表格4_711[[#This Row],[DEC]],",")</f>
        <v>//ID24_IntensityDown = 198,</v>
      </c>
      <c r="L20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應24_強度降低",</v>
      </c>
    </row>
    <row r="201" spans="2:12" x14ac:dyDescent="0.25">
      <c r="B201" s="99">
        <f t="shared" si="6"/>
        <v>199</v>
      </c>
      <c r="C201" s="125" t="str">
        <f>DEC2BIN(表格4_711[[#This Row],[DEC]]/2^($A$1-COLUMN()),3)</f>
        <v>110</v>
      </c>
      <c r="D201" s="126">
        <f>IF(ISODD( INT(表格4_711[[#This Row],[DEC]]/(2^($A$1-COLUMN())))),1,0)</f>
        <v>0</v>
      </c>
      <c r="E201" s="126">
        <f>IF(ISODD( INT(表格4_711[[#This Row],[DEC]]/(2^($A$1-COLUMN())))),1,0)</f>
        <v>0</v>
      </c>
      <c r="F201" s="127">
        <f>IF(ISODD( INT(表格4_711[[#This Row],[DEC]]/(2^($A$1-COLUMN())))),1,0)</f>
        <v>1</v>
      </c>
      <c r="G201" s="126">
        <f>IF(ISODD( INT(表格4_711[[#This Row],[DEC]]/(2^($A$1-COLUMN())))),1,0)</f>
        <v>1</v>
      </c>
      <c r="H201" s="126">
        <f>IF(ISODD( INT(表格4_711[[#This Row],[DEC]]/(2^($A$1-COLUMN())))),1,0)</f>
        <v>1</v>
      </c>
      <c r="I201" s="212" t="str">
        <f xml:space="preserve"> IF(bitand(表格4_711[[#This Row],[DEC]],7)&lt;1,"//", VLOOKUP(INT(表格4_711[[#This Row],[DEC]]/8),表格4_7112[],5,FALSE))</f>
        <v>//ID24</v>
      </c>
      <c r="J201" s="147" t="str">
        <f xml:space="preserve"> VLOOKUP(bitand(表格4_711[[#This Row],[DEC]],8-1),表格2[],2,FALSE)</f>
        <v>_IntensityUp</v>
      </c>
      <c r="K201" s="167" t="str">
        <f>CONCATENATE(表格4_711[[#This Row],[反應]],表格4_711[[#This Row],[補正]]," = ",表格4_711[[#This Row],[DEC]],",")</f>
        <v>//ID24_IntensityUp = 199,</v>
      </c>
      <c r="L20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應24_強度提昇",</v>
      </c>
    </row>
    <row r="202" spans="2:12" x14ac:dyDescent="0.25">
      <c r="B202" s="99">
        <f t="shared" si="6"/>
        <v>200</v>
      </c>
      <c r="C202" s="125" t="str">
        <f>DEC2BIN(表格4_711[[#This Row],[DEC]]/2^($A$1-COLUMN()),3)</f>
        <v>110</v>
      </c>
      <c r="D202" s="126">
        <f>IF(ISODD( INT(表格4_711[[#This Row],[DEC]]/(2^($A$1-COLUMN())))),1,0)</f>
        <v>0</v>
      </c>
      <c r="E202" s="126">
        <f>IF(ISODD( INT(表格4_711[[#This Row],[DEC]]/(2^($A$1-COLUMN())))),1,0)</f>
        <v>1</v>
      </c>
      <c r="F202" s="127">
        <f>IF(ISODD( INT(表格4_711[[#This Row],[DEC]]/(2^($A$1-COLUMN())))),1,0)</f>
        <v>0</v>
      </c>
      <c r="G202" s="126">
        <f>IF(ISODD( INT(表格4_711[[#This Row],[DEC]]/(2^($A$1-COLUMN())))),1,0)</f>
        <v>0</v>
      </c>
      <c r="H202" s="126">
        <f>IF(ISODD( INT(表格4_711[[#This Row],[DEC]]/(2^($A$1-COLUMN())))),1,0)</f>
        <v>0</v>
      </c>
      <c r="I202" s="192" t="str">
        <f xml:space="preserve"> IF(bitand(表格4_711[[#This Row],[DEC]],7)&lt;1,"//", VLOOKUP(INT(表格4_711[[#This Row],[DEC]]/8),表格4_7112[],5,FALSE))</f>
        <v>//</v>
      </c>
      <c r="J202" s="145" t="str">
        <f xml:space="preserve"> VLOOKUP(bitand(表格4_711[[#This Row],[DEC]],8-1),表格2[],2,FALSE)</f>
        <v/>
      </c>
      <c r="K202" s="144" t="str">
        <f>CONCATENATE(表格4_711[[#This Row],[反應]],表格4_711[[#This Row],[補正]]," = ",表格4_711[[#This Row],[DEC]],",")</f>
        <v>// = 200,</v>
      </c>
      <c r="L20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03" spans="2:12" x14ac:dyDescent="0.25">
      <c r="B203" s="99">
        <f t="shared" si="6"/>
        <v>201</v>
      </c>
      <c r="C203" s="125" t="str">
        <f>DEC2BIN(表格4_711[[#This Row],[DEC]]/2^($A$1-COLUMN()),3)</f>
        <v>110</v>
      </c>
      <c r="D203" s="126">
        <f>IF(ISODD( INT(表格4_711[[#This Row],[DEC]]/(2^($A$1-COLUMN())))),1,0)</f>
        <v>0</v>
      </c>
      <c r="E203" s="126">
        <f>IF(ISODD( INT(表格4_711[[#This Row],[DEC]]/(2^($A$1-COLUMN())))),1,0)</f>
        <v>1</v>
      </c>
      <c r="F203" s="127">
        <f>IF(ISODD( INT(表格4_711[[#This Row],[DEC]]/(2^($A$1-COLUMN())))),1,0)</f>
        <v>0</v>
      </c>
      <c r="G203" s="126">
        <f>IF(ISODD( INT(表格4_711[[#This Row],[DEC]]/(2^($A$1-COLUMN())))),1,0)</f>
        <v>0</v>
      </c>
      <c r="H203" s="126">
        <f>IF(ISODD( INT(表格4_711[[#This Row],[DEC]]/(2^($A$1-COLUMN())))),1,0)</f>
        <v>1</v>
      </c>
      <c r="I203" s="185" t="str">
        <f xml:space="preserve"> IF(bitand(表格4_711[[#This Row],[DEC]],7)&lt;1,"//", VLOOKUP(INT(表格4_711[[#This Row],[DEC]]/8),表格4_7112[],5,FALSE))</f>
        <v>//ID25</v>
      </c>
      <c r="J203" s="137" t="str">
        <f xml:space="preserve"> VLOOKUP(bitand(表格4_711[[#This Row],[DEC]],8-1),表格2[],2,FALSE)</f>
        <v/>
      </c>
      <c r="K203" s="137" t="str">
        <f>CONCATENATE(表格4_711[[#This Row],[反應]],表格4_711[[#This Row],[補正]]," = ",表格4_711[[#This Row],[DEC]],",")</f>
        <v>//ID25 = 201,</v>
      </c>
      <c r="L203" s="13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應25",</v>
      </c>
    </row>
    <row r="204" spans="2:12" x14ac:dyDescent="0.25">
      <c r="B204" s="99">
        <f t="shared" si="6"/>
        <v>202</v>
      </c>
      <c r="C204" s="125" t="str">
        <f>DEC2BIN(表格4_711[[#This Row],[DEC]]/2^($A$1-COLUMN()),3)</f>
        <v>110</v>
      </c>
      <c r="D204" s="126">
        <f>IF(ISODD( INT(表格4_711[[#This Row],[DEC]]/(2^($A$1-COLUMN())))),1,0)</f>
        <v>0</v>
      </c>
      <c r="E204" s="126">
        <f>IF(ISODD( INT(表格4_711[[#This Row],[DEC]]/(2^($A$1-COLUMN())))),1,0)</f>
        <v>1</v>
      </c>
      <c r="F204" s="127">
        <f>IF(ISODD( INT(表格4_711[[#This Row],[DEC]]/(2^($A$1-COLUMN())))),1,0)</f>
        <v>0</v>
      </c>
      <c r="G204" s="126">
        <f>IF(ISODD( INT(表格4_711[[#This Row],[DEC]]/(2^($A$1-COLUMN())))),1,0)</f>
        <v>1</v>
      </c>
      <c r="H204" s="126">
        <f>IF(ISODD( INT(表格4_711[[#This Row],[DEC]]/(2^($A$1-COLUMN())))),1,0)</f>
        <v>0</v>
      </c>
      <c r="I204" s="210" t="str">
        <f xml:space="preserve"> IF(bitand(表格4_711[[#This Row],[DEC]],7)&lt;1,"//", VLOOKUP(INT(表格4_711[[#This Row],[DEC]]/8),表格4_7112[],5,FALSE))</f>
        <v>//ID25</v>
      </c>
      <c r="J204" s="207" t="str">
        <f xml:space="preserve"> VLOOKUP(bitand(表格4_711[[#This Row],[DEC]],8-1),表格2[],2,FALSE)</f>
        <v>_Clear</v>
      </c>
      <c r="K204" s="167" t="str">
        <f>CONCATENATE(表格4_711[[#This Row],[反應]],表格4_711[[#This Row],[補正]]," = ",表格4_711[[#This Row],[DEC]],",")</f>
        <v>//ID25_Clear = 202,</v>
      </c>
      <c r="L20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應25_解除",</v>
      </c>
    </row>
    <row r="205" spans="2:12" x14ac:dyDescent="0.25">
      <c r="B205" s="99">
        <f t="shared" si="6"/>
        <v>203</v>
      </c>
      <c r="C205" s="125" t="str">
        <f>DEC2BIN(表格4_711[[#This Row],[DEC]]/2^($A$1-COLUMN()),3)</f>
        <v>110</v>
      </c>
      <c r="D205" s="126">
        <f>IF(ISODD( INT(表格4_711[[#This Row],[DEC]]/(2^($A$1-COLUMN())))),1,0)</f>
        <v>0</v>
      </c>
      <c r="E205" s="126">
        <f>IF(ISODD( INT(表格4_711[[#This Row],[DEC]]/(2^($A$1-COLUMN())))),1,0)</f>
        <v>1</v>
      </c>
      <c r="F205" s="127">
        <f>IF(ISODD( INT(表格4_711[[#This Row],[DEC]]/(2^($A$1-COLUMN())))),1,0)</f>
        <v>0</v>
      </c>
      <c r="G205" s="126">
        <f>IF(ISODD( INT(表格4_711[[#This Row],[DEC]]/(2^($A$1-COLUMN())))),1,0)</f>
        <v>1</v>
      </c>
      <c r="H205" s="126">
        <f>IF(ISODD( INT(表格4_711[[#This Row],[DEC]]/(2^($A$1-COLUMN())))),1,0)</f>
        <v>1</v>
      </c>
      <c r="I205" s="211" t="str">
        <f xml:space="preserve"> IF(bitand(表格4_711[[#This Row],[DEC]],7)&lt;1,"//", VLOOKUP(INT(表格4_711[[#This Row],[DEC]]/8),表格4_7112[],5,FALSE))</f>
        <v>//ID25</v>
      </c>
      <c r="J205" s="208" t="str">
        <f xml:space="preserve"> VLOOKUP(bitand(表格4_711[[#This Row],[DEC]],8-1),表格2[],2,FALSE)</f>
        <v>_Spread</v>
      </c>
      <c r="K205" s="167" t="str">
        <f>CONCATENATE(表格4_711[[#This Row],[反應]],表格4_711[[#This Row],[補正]]," = ",表格4_711[[#This Row],[DEC]],",")</f>
        <v>//ID25_Spread = 203,</v>
      </c>
      <c r="L20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應25_散播",</v>
      </c>
    </row>
    <row r="206" spans="2:12" x14ac:dyDescent="0.25">
      <c r="B206" s="99">
        <f t="shared" ref="B206:B228" si="7">ROW()-2</f>
        <v>204</v>
      </c>
      <c r="C206" s="125" t="str">
        <f>DEC2BIN(表格4_711[[#This Row],[DEC]]/2^($A$1-COLUMN()),3)</f>
        <v>110</v>
      </c>
      <c r="D206" s="126">
        <f>IF(ISODD( INT(表格4_711[[#This Row],[DEC]]/(2^($A$1-COLUMN())))),1,0)</f>
        <v>0</v>
      </c>
      <c r="E206" s="126">
        <f>IF(ISODD( INT(表格4_711[[#This Row],[DEC]]/(2^($A$1-COLUMN())))),1,0)</f>
        <v>1</v>
      </c>
      <c r="F206" s="127">
        <f>IF(ISODD( INT(表格4_711[[#This Row],[DEC]]/(2^($A$1-COLUMN())))),1,0)</f>
        <v>1</v>
      </c>
      <c r="G206" s="126">
        <f>IF(ISODD( INT(表格4_711[[#This Row],[DEC]]/(2^($A$1-COLUMN())))),1,0)</f>
        <v>0</v>
      </c>
      <c r="H206" s="126">
        <f>IF(ISODD( INT(表格4_711[[#This Row],[DEC]]/(2^($A$1-COLUMN())))),1,0)</f>
        <v>0</v>
      </c>
      <c r="I206" s="212" t="str">
        <f xml:space="preserve"> IF(bitand(表格4_711[[#This Row],[DEC]],7)&lt;1,"//", VLOOKUP(INT(表格4_711[[#This Row],[DEC]]/8),表格4_7112[],5,FALSE))</f>
        <v>//ID25</v>
      </c>
      <c r="J206" s="147" t="str">
        <f xml:space="preserve"> VLOOKUP(bitand(表格4_711[[#This Row],[DEC]],8-1),表格2[],2,FALSE)</f>
        <v>_RangeDown</v>
      </c>
      <c r="K206" s="167" t="str">
        <f>CONCATENATE(表格4_711[[#This Row],[反應]],表格4_711[[#This Row],[補正]]," = ",表格4_711[[#This Row],[DEC]],",")</f>
        <v>//ID25_RangeDown = 204,</v>
      </c>
      <c r="L20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應25_範圍降低",</v>
      </c>
    </row>
    <row r="207" spans="2:12" x14ac:dyDescent="0.25">
      <c r="B207" s="99">
        <f t="shared" si="7"/>
        <v>205</v>
      </c>
      <c r="C207" s="125" t="str">
        <f>DEC2BIN(表格4_711[[#This Row],[DEC]]/2^($A$1-COLUMN()),3)</f>
        <v>110</v>
      </c>
      <c r="D207" s="126">
        <f>IF(ISODD( INT(表格4_711[[#This Row],[DEC]]/(2^($A$1-COLUMN())))),1,0)</f>
        <v>0</v>
      </c>
      <c r="E207" s="126">
        <f>IF(ISODD( INT(表格4_711[[#This Row],[DEC]]/(2^($A$1-COLUMN())))),1,0)</f>
        <v>1</v>
      </c>
      <c r="F207" s="127">
        <f>IF(ISODD( INT(表格4_711[[#This Row],[DEC]]/(2^($A$1-COLUMN())))),1,0)</f>
        <v>1</v>
      </c>
      <c r="G207" s="126">
        <f>IF(ISODD( INT(表格4_711[[#This Row],[DEC]]/(2^($A$1-COLUMN())))),1,0)</f>
        <v>0</v>
      </c>
      <c r="H207" s="126">
        <f>IF(ISODD( INT(表格4_711[[#This Row],[DEC]]/(2^($A$1-COLUMN())))),1,0)</f>
        <v>1</v>
      </c>
      <c r="I207" s="212" t="str">
        <f xml:space="preserve"> IF(bitand(表格4_711[[#This Row],[DEC]],7)&lt;1,"//", VLOOKUP(INT(表格4_711[[#This Row],[DEC]]/8),表格4_7112[],5,FALSE))</f>
        <v>//ID25</v>
      </c>
      <c r="J207" s="147" t="str">
        <f xml:space="preserve"> VLOOKUP(bitand(表格4_711[[#This Row],[DEC]],8-1),表格2[],2,FALSE)</f>
        <v>_RangeUP</v>
      </c>
      <c r="K207" s="167" t="str">
        <f>CONCATENATE(表格4_711[[#This Row],[反應]],表格4_711[[#This Row],[補正]]," = ",表格4_711[[#This Row],[DEC]],",")</f>
        <v>//ID25_RangeUP = 205,</v>
      </c>
      <c r="L20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應25_範圍提昇",</v>
      </c>
    </row>
    <row r="208" spans="2:12" x14ac:dyDescent="0.25">
      <c r="B208" s="99">
        <f t="shared" si="7"/>
        <v>206</v>
      </c>
      <c r="C208" s="125" t="str">
        <f>DEC2BIN(表格4_711[[#This Row],[DEC]]/2^($A$1-COLUMN()),3)</f>
        <v>110</v>
      </c>
      <c r="D208" s="126">
        <f>IF(ISODD( INT(表格4_711[[#This Row],[DEC]]/(2^($A$1-COLUMN())))),1,0)</f>
        <v>0</v>
      </c>
      <c r="E208" s="126">
        <f>IF(ISODD( INT(表格4_711[[#This Row],[DEC]]/(2^($A$1-COLUMN())))),1,0)</f>
        <v>1</v>
      </c>
      <c r="F208" s="127">
        <f>IF(ISODD( INT(表格4_711[[#This Row],[DEC]]/(2^($A$1-COLUMN())))),1,0)</f>
        <v>1</v>
      </c>
      <c r="G208" s="126">
        <f>IF(ISODD( INT(表格4_711[[#This Row],[DEC]]/(2^($A$1-COLUMN())))),1,0)</f>
        <v>1</v>
      </c>
      <c r="H208" s="126">
        <f>IF(ISODD( INT(表格4_711[[#This Row],[DEC]]/(2^($A$1-COLUMN())))),1,0)</f>
        <v>0</v>
      </c>
      <c r="I208" s="212" t="str">
        <f xml:space="preserve"> IF(bitand(表格4_711[[#This Row],[DEC]],7)&lt;1,"//", VLOOKUP(INT(表格4_711[[#This Row],[DEC]]/8),表格4_7112[],5,FALSE))</f>
        <v>//ID25</v>
      </c>
      <c r="J208" s="147" t="str">
        <f xml:space="preserve"> VLOOKUP(bitand(表格4_711[[#This Row],[DEC]],8-1),表格2[],2,FALSE)</f>
        <v>_IntensityDown</v>
      </c>
      <c r="K208" s="167" t="str">
        <f>CONCATENATE(表格4_711[[#This Row],[反應]],表格4_711[[#This Row],[補正]]," = ",表格4_711[[#This Row],[DEC]],",")</f>
        <v>//ID25_IntensityDown = 206,</v>
      </c>
      <c r="L20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應25_強度降低",</v>
      </c>
    </row>
    <row r="209" spans="2:12" x14ac:dyDescent="0.25">
      <c r="B209" s="99">
        <f t="shared" si="7"/>
        <v>207</v>
      </c>
      <c r="C209" s="125" t="str">
        <f>DEC2BIN(表格4_711[[#This Row],[DEC]]/2^($A$1-COLUMN()),3)</f>
        <v>110</v>
      </c>
      <c r="D209" s="126">
        <f>IF(ISODD( INT(表格4_711[[#This Row],[DEC]]/(2^($A$1-COLUMN())))),1,0)</f>
        <v>0</v>
      </c>
      <c r="E209" s="126">
        <f>IF(ISODD( INT(表格4_711[[#This Row],[DEC]]/(2^($A$1-COLUMN())))),1,0)</f>
        <v>1</v>
      </c>
      <c r="F209" s="127">
        <f>IF(ISODD( INT(表格4_711[[#This Row],[DEC]]/(2^($A$1-COLUMN())))),1,0)</f>
        <v>1</v>
      </c>
      <c r="G209" s="126">
        <f>IF(ISODD( INT(表格4_711[[#This Row],[DEC]]/(2^($A$1-COLUMN())))),1,0)</f>
        <v>1</v>
      </c>
      <c r="H209" s="126">
        <f>IF(ISODD( INT(表格4_711[[#This Row],[DEC]]/(2^($A$1-COLUMN())))),1,0)</f>
        <v>1</v>
      </c>
      <c r="I209" s="212" t="str">
        <f xml:space="preserve"> IF(bitand(表格4_711[[#This Row],[DEC]],7)&lt;1,"//", VLOOKUP(INT(表格4_711[[#This Row],[DEC]]/8),表格4_7112[],5,FALSE))</f>
        <v>//ID25</v>
      </c>
      <c r="J209" s="147" t="str">
        <f xml:space="preserve"> VLOOKUP(bitand(表格4_711[[#This Row],[DEC]],8-1),表格2[],2,FALSE)</f>
        <v>_IntensityUp</v>
      </c>
      <c r="K209" s="167" t="str">
        <f>CONCATENATE(表格4_711[[#This Row],[反應]],表格4_711[[#This Row],[補正]]," = ",表格4_711[[#This Row],[DEC]],",")</f>
        <v>//ID25_IntensityUp = 207,</v>
      </c>
      <c r="L20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應25_強度提昇",</v>
      </c>
    </row>
    <row r="210" spans="2:12" x14ac:dyDescent="0.25">
      <c r="B210" s="99">
        <f t="shared" si="7"/>
        <v>208</v>
      </c>
      <c r="C210" s="125" t="str">
        <f>DEC2BIN(表格4_711[[#This Row],[DEC]]/2^($A$1-COLUMN()),3)</f>
        <v>110</v>
      </c>
      <c r="D210" s="126">
        <f>IF(ISODD( INT(表格4_711[[#This Row],[DEC]]/(2^($A$1-COLUMN())))),1,0)</f>
        <v>1</v>
      </c>
      <c r="E210" s="126">
        <f>IF(ISODD( INT(表格4_711[[#This Row],[DEC]]/(2^($A$1-COLUMN())))),1,0)</f>
        <v>0</v>
      </c>
      <c r="F210" s="127">
        <f>IF(ISODD( INT(表格4_711[[#This Row],[DEC]]/(2^($A$1-COLUMN())))),1,0)</f>
        <v>0</v>
      </c>
      <c r="G210" s="126">
        <f>IF(ISODD( INT(表格4_711[[#This Row],[DEC]]/(2^($A$1-COLUMN())))),1,0)</f>
        <v>0</v>
      </c>
      <c r="H210" s="126">
        <f>IF(ISODD( INT(表格4_711[[#This Row],[DEC]]/(2^($A$1-COLUMN())))),1,0)</f>
        <v>0</v>
      </c>
      <c r="I210" s="192" t="str">
        <f xml:space="preserve"> IF(bitand(表格4_711[[#This Row],[DEC]],7)&lt;1,"//", VLOOKUP(INT(表格4_711[[#This Row],[DEC]]/8),表格4_7112[],5,FALSE))</f>
        <v>//</v>
      </c>
      <c r="J210" s="145" t="str">
        <f xml:space="preserve"> VLOOKUP(bitand(表格4_711[[#This Row],[DEC]],8-1),表格2[],2,FALSE)</f>
        <v/>
      </c>
      <c r="K210" s="144" t="str">
        <f>CONCATENATE(表格4_711[[#This Row],[反應]],表格4_711[[#This Row],[補正]]," = ",表格4_711[[#This Row],[DEC]],",")</f>
        <v>// = 208,</v>
      </c>
      <c r="L21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11" spans="2:12" x14ac:dyDescent="0.25">
      <c r="B211" s="99">
        <f t="shared" si="7"/>
        <v>209</v>
      </c>
      <c r="C211" s="125" t="str">
        <f>DEC2BIN(表格4_711[[#This Row],[DEC]]/2^($A$1-COLUMN()),3)</f>
        <v>110</v>
      </c>
      <c r="D211" s="126">
        <f>IF(ISODD( INT(表格4_711[[#This Row],[DEC]]/(2^($A$1-COLUMN())))),1,0)</f>
        <v>1</v>
      </c>
      <c r="E211" s="126">
        <f>IF(ISODD( INT(表格4_711[[#This Row],[DEC]]/(2^($A$1-COLUMN())))),1,0)</f>
        <v>0</v>
      </c>
      <c r="F211" s="127">
        <f>IF(ISODD( INT(表格4_711[[#This Row],[DEC]]/(2^($A$1-COLUMN())))),1,0)</f>
        <v>0</v>
      </c>
      <c r="G211" s="126">
        <f>IF(ISODD( INT(表格4_711[[#This Row],[DEC]]/(2^($A$1-COLUMN())))),1,0)</f>
        <v>0</v>
      </c>
      <c r="H211" s="126">
        <f>IF(ISODD( INT(表格4_711[[#This Row],[DEC]]/(2^($A$1-COLUMN())))),1,0)</f>
        <v>1</v>
      </c>
      <c r="I211" s="186" t="str">
        <f xml:space="preserve"> IF(bitand(表格4_711[[#This Row],[DEC]],7)&lt;1,"//", VLOOKUP(INT(表格4_711[[#This Row],[DEC]]/8),表格4_7112[],5,FALSE))</f>
        <v>//ID26</v>
      </c>
      <c r="J211" s="138" t="str">
        <f xml:space="preserve"> VLOOKUP(bitand(表格4_711[[#This Row],[DEC]],8-1),表格2[],2,FALSE)</f>
        <v/>
      </c>
      <c r="K211" s="138" t="str">
        <f>CONCATENATE(表格4_711[[#This Row],[反應]],表格4_711[[#This Row],[補正]]," = ",表格4_711[[#This Row],[DEC]],",")</f>
        <v>//ID26 = 209,</v>
      </c>
      <c r="L211" s="138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應26",</v>
      </c>
    </row>
    <row r="212" spans="2:12" x14ac:dyDescent="0.25">
      <c r="B212" s="99">
        <f t="shared" si="7"/>
        <v>210</v>
      </c>
      <c r="C212" s="125" t="str">
        <f>DEC2BIN(表格4_711[[#This Row],[DEC]]/2^($A$1-COLUMN()),3)</f>
        <v>110</v>
      </c>
      <c r="D212" s="126">
        <f>IF(ISODD( INT(表格4_711[[#This Row],[DEC]]/(2^($A$1-COLUMN())))),1,0)</f>
        <v>1</v>
      </c>
      <c r="E212" s="126">
        <f>IF(ISODD( INT(表格4_711[[#This Row],[DEC]]/(2^($A$1-COLUMN())))),1,0)</f>
        <v>0</v>
      </c>
      <c r="F212" s="127">
        <f>IF(ISODD( INT(表格4_711[[#This Row],[DEC]]/(2^($A$1-COLUMN())))),1,0)</f>
        <v>0</v>
      </c>
      <c r="G212" s="126">
        <f>IF(ISODD( INT(表格4_711[[#This Row],[DEC]]/(2^($A$1-COLUMN())))),1,0)</f>
        <v>1</v>
      </c>
      <c r="H212" s="126">
        <f>IF(ISODD( INT(表格4_711[[#This Row],[DEC]]/(2^($A$1-COLUMN())))),1,0)</f>
        <v>0</v>
      </c>
      <c r="I212" s="210" t="str">
        <f xml:space="preserve"> IF(bitand(表格4_711[[#This Row],[DEC]],7)&lt;1,"//", VLOOKUP(INT(表格4_711[[#This Row],[DEC]]/8),表格4_7112[],5,FALSE))</f>
        <v>//ID26</v>
      </c>
      <c r="J212" s="207" t="str">
        <f xml:space="preserve"> VLOOKUP(bitand(表格4_711[[#This Row],[DEC]],8-1),表格2[],2,FALSE)</f>
        <v>_Clear</v>
      </c>
      <c r="K212" s="167" t="str">
        <f>CONCATENATE(表格4_711[[#This Row],[反應]],表格4_711[[#This Row],[補正]]," = ",表格4_711[[#This Row],[DEC]],",")</f>
        <v>//ID26_Clear = 210,</v>
      </c>
      <c r="L2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應26_解除",</v>
      </c>
    </row>
    <row r="213" spans="2:12" x14ac:dyDescent="0.25">
      <c r="B213" s="99">
        <f t="shared" si="7"/>
        <v>211</v>
      </c>
      <c r="C213" s="125" t="str">
        <f>DEC2BIN(表格4_711[[#This Row],[DEC]]/2^($A$1-COLUMN()),3)</f>
        <v>110</v>
      </c>
      <c r="D213" s="126">
        <f>IF(ISODD( INT(表格4_711[[#This Row],[DEC]]/(2^($A$1-COLUMN())))),1,0)</f>
        <v>1</v>
      </c>
      <c r="E213" s="126">
        <f>IF(ISODD( INT(表格4_711[[#This Row],[DEC]]/(2^($A$1-COLUMN())))),1,0)</f>
        <v>0</v>
      </c>
      <c r="F213" s="127">
        <f>IF(ISODD( INT(表格4_711[[#This Row],[DEC]]/(2^($A$1-COLUMN())))),1,0)</f>
        <v>0</v>
      </c>
      <c r="G213" s="126">
        <f>IF(ISODD( INT(表格4_711[[#This Row],[DEC]]/(2^($A$1-COLUMN())))),1,0)</f>
        <v>1</v>
      </c>
      <c r="H213" s="126">
        <f>IF(ISODD( INT(表格4_711[[#This Row],[DEC]]/(2^($A$1-COLUMN())))),1,0)</f>
        <v>1</v>
      </c>
      <c r="I213" s="214" t="str">
        <f xml:space="preserve"> IF(bitand(表格4_711[[#This Row],[DEC]],7)&lt;1,"//", VLOOKUP(INT(表格4_711[[#This Row],[DEC]]/8),表格4_7112[],5,FALSE))</f>
        <v>//ID26</v>
      </c>
      <c r="J213" s="208" t="str">
        <f xml:space="preserve"> VLOOKUP(bitand(表格4_711[[#This Row],[DEC]],8-1),表格2[],2,FALSE)</f>
        <v>_Spread</v>
      </c>
      <c r="K213" s="167" t="str">
        <f>CONCATENATE(表格4_711[[#This Row],[反應]],表格4_711[[#This Row],[補正]]," = ",表格4_711[[#This Row],[DEC]],",")</f>
        <v>//ID26_Spread = 211,</v>
      </c>
      <c r="L2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應26_散播",</v>
      </c>
    </row>
    <row r="214" spans="2:12" x14ac:dyDescent="0.25">
      <c r="B214" s="99">
        <f t="shared" si="7"/>
        <v>212</v>
      </c>
      <c r="C214" s="125" t="str">
        <f>DEC2BIN(表格4_711[[#This Row],[DEC]]/2^($A$1-COLUMN()),3)</f>
        <v>110</v>
      </c>
      <c r="D214" s="126">
        <f>IF(ISODD( INT(表格4_711[[#This Row],[DEC]]/(2^($A$1-COLUMN())))),1,0)</f>
        <v>1</v>
      </c>
      <c r="E214" s="126">
        <f>IF(ISODD( INT(表格4_711[[#This Row],[DEC]]/(2^($A$1-COLUMN())))),1,0)</f>
        <v>0</v>
      </c>
      <c r="F214" s="127">
        <f>IF(ISODD( INT(表格4_711[[#This Row],[DEC]]/(2^($A$1-COLUMN())))),1,0)</f>
        <v>1</v>
      </c>
      <c r="G214" s="126">
        <f>IF(ISODD( INT(表格4_711[[#This Row],[DEC]]/(2^($A$1-COLUMN())))),1,0)</f>
        <v>0</v>
      </c>
      <c r="H214" s="126">
        <f>IF(ISODD( INT(表格4_711[[#This Row],[DEC]]/(2^($A$1-COLUMN())))),1,0)</f>
        <v>0</v>
      </c>
      <c r="I214" s="212" t="str">
        <f xml:space="preserve"> IF(bitand(表格4_711[[#This Row],[DEC]],7)&lt;1,"//", VLOOKUP(INT(表格4_711[[#This Row],[DEC]]/8),表格4_7112[],5,FALSE))</f>
        <v>//ID26</v>
      </c>
      <c r="J214" s="147" t="str">
        <f xml:space="preserve"> VLOOKUP(bitand(表格4_711[[#This Row],[DEC]],8-1),表格2[],2,FALSE)</f>
        <v>_RangeDown</v>
      </c>
      <c r="K214" s="167" t="str">
        <f>CONCATENATE(表格4_711[[#This Row],[反應]],表格4_711[[#This Row],[補正]]," = ",表格4_711[[#This Row],[DEC]],",")</f>
        <v>//ID26_RangeDown = 212,</v>
      </c>
      <c r="L21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應26_範圍降低",</v>
      </c>
    </row>
    <row r="215" spans="2:12" x14ac:dyDescent="0.25">
      <c r="B215" s="99">
        <f t="shared" si="7"/>
        <v>213</v>
      </c>
      <c r="C215" s="125" t="str">
        <f>DEC2BIN(表格4_711[[#This Row],[DEC]]/2^($A$1-COLUMN()),3)</f>
        <v>110</v>
      </c>
      <c r="D215" s="126">
        <f>IF(ISODD( INT(表格4_711[[#This Row],[DEC]]/(2^($A$1-COLUMN())))),1,0)</f>
        <v>1</v>
      </c>
      <c r="E215" s="126">
        <f>IF(ISODD( INT(表格4_711[[#This Row],[DEC]]/(2^($A$1-COLUMN())))),1,0)</f>
        <v>0</v>
      </c>
      <c r="F215" s="127">
        <f>IF(ISODD( INT(表格4_711[[#This Row],[DEC]]/(2^($A$1-COLUMN())))),1,0)</f>
        <v>1</v>
      </c>
      <c r="G215" s="126">
        <f>IF(ISODD( INT(表格4_711[[#This Row],[DEC]]/(2^($A$1-COLUMN())))),1,0)</f>
        <v>0</v>
      </c>
      <c r="H215" s="126">
        <f>IF(ISODD( INT(表格4_711[[#This Row],[DEC]]/(2^($A$1-COLUMN())))),1,0)</f>
        <v>1</v>
      </c>
      <c r="I215" s="212" t="str">
        <f xml:space="preserve"> IF(bitand(表格4_711[[#This Row],[DEC]],7)&lt;1,"//", VLOOKUP(INT(表格4_711[[#This Row],[DEC]]/8),表格4_7112[],5,FALSE))</f>
        <v>//ID26</v>
      </c>
      <c r="J215" s="147" t="str">
        <f xml:space="preserve"> VLOOKUP(bitand(表格4_711[[#This Row],[DEC]],8-1),表格2[],2,FALSE)</f>
        <v>_RangeUP</v>
      </c>
      <c r="K215" s="167" t="str">
        <f>CONCATENATE(表格4_711[[#This Row],[反應]],表格4_711[[#This Row],[補正]]," = ",表格4_711[[#This Row],[DEC]],",")</f>
        <v>//ID26_RangeUP = 213,</v>
      </c>
      <c r="L21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應26_範圍提昇",</v>
      </c>
    </row>
    <row r="216" spans="2:12" x14ac:dyDescent="0.25">
      <c r="B216" s="99">
        <f t="shared" si="7"/>
        <v>214</v>
      </c>
      <c r="C216" s="125" t="str">
        <f>DEC2BIN(表格4_711[[#This Row],[DEC]]/2^($A$1-COLUMN()),3)</f>
        <v>110</v>
      </c>
      <c r="D216" s="126">
        <f>IF(ISODD( INT(表格4_711[[#This Row],[DEC]]/(2^($A$1-COLUMN())))),1,0)</f>
        <v>1</v>
      </c>
      <c r="E216" s="126">
        <f>IF(ISODD( INT(表格4_711[[#This Row],[DEC]]/(2^($A$1-COLUMN())))),1,0)</f>
        <v>0</v>
      </c>
      <c r="F216" s="127">
        <f>IF(ISODD( INT(表格4_711[[#This Row],[DEC]]/(2^($A$1-COLUMN())))),1,0)</f>
        <v>1</v>
      </c>
      <c r="G216" s="126">
        <f>IF(ISODD( INT(表格4_711[[#This Row],[DEC]]/(2^($A$1-COLUMN())))),1,0)</f>
        <v>1</v>
      </c>
      <c r="H216" s="126">
        <f>IF(ISODD( INT(表格4_711[[#This Row],[DEC]]/(2^($A$1-COLUMN())))),1,0)</f>
        <v>0</v>
      </c>
      <c r="I216" s="212" t="str">
        <f xml:space="preserve"> IF(bitand(表格4_711[[#This Row],[DEC]],7)&lt;1,"//", VLOOKUP(INT(表格4_711[[#This Row],[DEC]]/8),表格4_7112[],5,FALSE))</f>
        <v>//ID26</v>
      </c>
      <c r="J216" s="147" t="str">
        <f xml:space="preserve"> VLOOKUP(bitand(表格4_711[[#This Row],[DEC]],8-1),表格2[],2,FALSE)</f>
        <v>_IntensityDown</v>
      </c>
      <c r="K216" s="167" t="str">
        <f>CONCATENATE(表格4_711[[#This Row],[反應]],表格4_711[[#This Row],[補正]]," = ",表格4_711[[#This Row],[DEC]],",")</f>
        <v>//ID26_IntensityDown = 214,</v>
      </c>
      <c r="L2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應26_強度降低",</v>
      </c>
    </row>
    <row r="217" spans="2:12" x14ac:dyDescent="0.25">
      <c r="B217" s="99">
        <f t="shared" si="7"/>
        <v>215</v>
      </c>
      <c r="C217" s="125" t="str">
        <f>DEC2BIN(表格4_711[[#This Row],[DEC]]/2^($A$1-COLUMN()),3)</f>
        <v>110</v>
      </c>
      <c r="D217" s="126">
        <f>IF(ISODD( INT(表格4_711[[#This Row],[DEC]]/(2^($A$1-COLUMN())))),1,0)</f>
        <v>1</v>
      </c>
      <c r="E217" s="126">
        <f>IF(ISODD( INT(表格4_711[[#This Row],[DEC]]/(2^($A$1-COLUMN())))),1,0)</f>
        <v>0</v>
      </c>
      <c r="F217" s="127">
        <f>IF(ISODD( INT(表格4_711[[#This Row],[DEC]]/(2^($A$1-COLUMN())))),1,0)</f>
        <v>1</v>
      </c>
      <c r="G217" s="126">
        <f>IF(ISODD( INT(表格4_711[[#This Row],[DEC]]/(2^($A$1-COLUMN())))),1,0)</f>
        <v>1</v>
      </c>
      <c r="H217" s="126">
        <f>IF(ISODD( INT(表格4_711[[#This Row],[DEC]]/(2^($A$1-COLUMN())))),1,0)</f>
        <v>1</v>
      </c>
      <c r="I217" s="212" t="str">
        <f xml:space="preserve"> IF(bitand(表格4_711[[#This Row],[DEC]],7)&lt;1,"//", VLOOKUP(INT(表格4_711[[#This Row],[DEC]]/8),表格4_7112[],5,FALSE))</f>
        <v>//ID26</v>
      </c>
      <c r="J217" s="147" t="str">
        <f xml:space="preserve"> VLOOKUP(bitand(表格4_711[[#This Row],[DEC]],8-1),表格2[],2,FALSE)</f>
        <v>_IntensityUp</v>
      </c>
      <c r="K217" s="167" t="str">
        <f>CONCATENATE(表格4_711[[#This Row],[反應]],表格4_711[[#This Row],[補正]]," = ",表格4_711[[#This Row],[DEC]],",")</f>
        <v>//ID26_IntensityUp = 215,</v>
      </c>
      <c r="L2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應26_強度提昇",</v>
      </c>
    </row>
    <row r="218" spans="2:12" x14ac:dyDescent="0.25">
      <c r="B218" s="99">
        <f t="shared" si="7"/>
        <v>216</v>
      </c>
      <c r="C218" s="125" t="str">
        <f>DEC2BIN(表格4_711[[#This Row],[DEC]]/2^($A$1-COLUMN()),3)</f>
        <v>110</v>
      </c>
      <c r="D218" s="126">
        <f>IF(ISODD( INT(表格4_711[[#This Row],[DEC]]/(2^($A$1-COLUMN())))),1,0)</f>
        <v>1</v>
      </c>
      <c r="E218" s="126">
        <f>IF(ISODD( INT(表格4_711[[#This Row],[DEC]]/(2^($A$1-COLUMN())))),1,0)</f>
        <v>1</v>
      </c>
      <c r="F218" s="127">
        <f>IF(ISODD( INT(表格4_711[[#This Row],[DEC]]/(2^($A$1-COLUMN())))),1,0)</f>
        <v>0</v>
      </c>
      <c r="G218" s="126">
        <f>IF(ISODD( INT(表格4_711[[#This Row],[DEC]]/(2^($A$1-COLUMN())))),1,0)</f>
        <v>0</v>
      </c>
      <c r="H218" s="126">
        <f>IF(ISODD( INT(表格4_711[[#This Row],[DEC]]/(2^($A$1-COLUMN())))),1,0)</f>
        <v>0</v>
      </c>
      <c r="I218" s="192" t="str">
        <f xml:space="preserve"> IF(bitand(表格4_711[[#This Row],[DEC]],7)&lt;1,"//", VLOOKUP(INT(表格4_711[[#This Row],[DEC]]/8),表格4_7112[],5,FALSE))</f>
        <v>//</v>
      </c>
      <c r="J218" s="145" t="str">
        <f xml:space="preserve"> VLOOKUP(bitand(表格4_711[[#This Row],[DEC]],8-1),表格2[],2,FALSE)</f>
        <v/>
      </c>
      <c r="K218" s="144" t="str">
        <f>CONCATENATE(表格4_711[[#This Row],[反應]],表格4_711[[#This Row],[補正]]," = ",表格4_711[[#This Row],[DEC]],",")</f>
        <v>// = 216,</v>
      </c>
      <c r="L21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19" spans="2:12" x14ac:dyDescent="0.25">
      <c r="B219" s="99">
        <f t="shared" si="7"/>
        <v>217</v>
      </c>
      <c r="C219" s="125" t="str">
        <f>DEC2BIN(表格4_711[[#This Row],[DEC]]/2^($A$1-COLUMN()),3)</f>
        <v>110</v>
      </c>
      <c r="D219" s="126">
        <f>IF(ISODD( INT(表格4_711[[#This Row],[DEC]]/(2^($A$1-COLUMN())))),1,0)</f>
        <v>1</v>
      </c>
      <c r="E219" s="126">
        <f>IF(ISODD( INT(表格4_711[[#This Row],[DEC]]/(2^($A$1-COLUMN())))),1,0)</f>
        <v>1</v>
      </c>
      <c r="F219" s="127">
        <f>IF(ISODD( INT(表格4_711[[#This Row],[DEC]]/(2^($A$1-COLUMN())))),1,0)</f>
        <v>0</v>
      </c>
      <c r="G219" s="126">
        <f>IF(ISODD( INT(表格4_711[[#This Row],[DEC]]/(2^($A$1-COLUMN())))),1,0)</f>
        <v>0</v>
      </c>
      <c r="H219" s="126">
        <f>IF(ISODD( INT(表格4_711[[#This Row],[DEC]]/(2^($A$1-COLUMN())))),1,0)</f>
        <v>1</v>
      </c>
      <c r="I219" s="187" t="str">
        <f xml:space="preserve"> IF(bitand(表格4_711[[#This Row],[DEC]],7)&lt;1,"//", VLOOKUP(INT(表格4_711[[#This Row],[DEC]]/8),表格4_7112[],5,FALSE))</f>
        <v>//ID27</v>
      </c>
      <c r="J219" s="139" t="str">
        <f xml:space="preserve"> VLOOKUP(bitand(表格4_711[[#This Row],[DEC]],8-1),表格2[],2,FALSE)</f>
        <v/>
      </c>
      <c r="K219" s="139" t="str">
        <f>CONCATENATE(表格4_711[[#This Row],[反應]],表格4_711[[#This Row],[補正]]," = ",表格4_711[[#This Row],[DEC]],",")</f>
        <v>//ID27 = 217,</v>
      </c>
      <c r="L219" s="139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應27",</v>
      </c>
    </row>
    <row r="220" spans="2:12" x14ac:dyDescent="0.25">
      <c r="B220" s="99">
        <f t="shared" si="7"/>
        <v>218</v>
      </c>
      <c r="C220" s="125" t="str">
        <f>DEC2BIN(表格4_711[[#This Row],[DEC]]/2^($A$1-COLUMN()),3)</f>
        <v>110</v>
      </c>
      <c r="D220" s="126">
        <f>IF(ISODD( INT(表格4_711[[#This Row],[DEC]]/(2^($A$1-COLUMN())))),1,0)</f>
        <v>1</v>
      </c>
      <c r="E220" s="126">
        <f>IF(ISODD( INT(表格4_711[[#This Row],[DEC]]/(2^($A$1-COLUMN())))),1,0)</f>
        <v>1</v>
      </c>
      <c r="F220" s="127">
        <f>IF(ISODD( INT(表格4_711[[#This Row],[DEC]]/(2^($A$1-COLUMN())))),1,0)</f>
        <v>0</v>
      </c>
      <c r="G220" s="126">
        <f>IF(ISODD( INT(表格4_711[[#This Row],[DEC]]/(2^($A$1-COLUMN())))),1,0)</f>
        <v>1</v>
      </c>
      <c r="H220" s="126">
        <f>IF(ISODD( INT(表格4_711[[#This Row],[DEC]]/(2^($A$1-COLUMN())))),1,0)</f>
        <v>0</v>
      </c>
      <c r="I220" s="210" t="str">
        <f xml:space="preserve"> IF(bitand(表格4_711[[#This Row],[DEC]],7)&lt;1,"//", VLOOKUP(INT(表格4_711[[#This Row],[DEC]]/8),表格4_7112[],5,FALSE))</f>
        <v>//ID27</v>
      </c>
      <c r="J220" s="207" t="str">
        <f xml:space="preserve"> VLOOKUP(bitand(表格4_711[[#This Row],[DEC]],8-1),表格2[],2,FALSE)</f>
        <v>_Clear</v>
      </c>
      <c r="K220" s="167" t="str">
        <f>CONCATENATE(表格4_711[[#This Row],[反應]],表格4_711[[#This Row],[補正]]," = ",表格4_711[[#This Row],[DEC]],",")</f>
        <v>//ID27_Clear = 218,</v>
      </c>
      <c r="L2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應27_解除",</v>
      </c>
    </row>
    <row r="221" spans="2:12" x14ac:dyDescent="0.25">
      <c r="B221" s="99">
        <f t="shared" si="7"/>
        <v>219</v>
      </c>
      <c r="C221" s="125" t="str">
        <f>DEC2BIN(表格4_711[[#This Row],[DEC]]/2^($A$1-COLUMN()),3)</f>
        <v>110</v>
      </c>
      <c r="D221" s="126">
        <f>IF(ISODD( INT(表格4_711[[#This Row],[DEC]]/(2^($A$1-COLUMN())))),1,0)</f>
        <v>1</v>
      </c>
      <c r="E221" s="126">
        <f>IF(ISODD( INT(表格4_711[[#This Row],[DEC]]/(2^($A$1-COLUMN())))),1,0)</f>
        <v>1</v>
      </c>
      <c r="F221" s="127">
        <f>IF(ISODD( INT(表格4_711[[#This Row],[DEC]]/(2^($A$1-COLUMN())))),1,0)</f>
        <v>0</v>
      </c>
      <c r="G221" s="126">
        <f>IF(ISODD( INT(表格4_711[[#This Row],[DEC]]/(2^($A$1-COLUMN())))),1,0)</f>
        <v>1</v>
      </c>
      <c r="H221" s="126">
        <f>IF(ISODD( INT(表格4_711[[#This Row],[DEC]]/(2^($A$1-COLUMN())))),1,0)</f>
        <v>1</v>
      </c>
      <c r="I221" s="211" t="str">
        <f xml:space="preserve"> IF(bitand(表格4_711[[#This Row],[DEC]],7)&lt;1,"//", VLOOKUP(INT(表格4_711[[#This Row],[DEC]]/8),表格4_7112[],5,FALSE))</f>
        <v>//ID27</v>
      </c>
      <c r="J221" s="208" t="str">
        <f xml:space="preserve"> VLOOKUP(bitand(表格4_711[[#This Row],[DEC]],8-1),表格2[],2,FALSE)</f>
        <v>_Spread</v>
      </c>
      <c r="K221" s="167" t="str">
        <f>CONCATENATE(表格4_711[[#This Row],[反應]],表格4_711[[#This Row],[補正]]," = ",表格4_711[[#This Row],[DEC]],",")</f>
        <v>//ID27_Spread = 219,</v>
      </c>
      <c r="L2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應27_散播",</v>
      </c>
    </row>
    <row r="222" spans="2:12" x14ac:dyDescent="0.25">
      <c r="B222" s="99">
        <f t="shared" si="7"/>
        <v>220</v>
      </c>
      <c r="C222" s="125" t="str">
        <f>DEC2BIN(表格4_711[[#This Row],[DEC]]/2^($A$1-COLUMN()),3)</f>
        <v>110</v>
      </c>
      <c r="D222" s="126">
        <f>IF(ISODD( INT(表格4_711[[#This Row],[DEC]]/(2^($A$1-COLUMN())))),1,0)</f>
        <v>1</v>
      </c>
      <c r="E222" s="126">
        <f>IF(ISODD( INT(表格4_711[[#This Row],[DEC]]/(2^($A$1-COLUMN())))),1,0)</f>
        <v>1</v>
      </c>
      <c r="F222" s="127">
        <f>IF(ISODD( INT(表格4_711[[#This Row],[DEC]]/(2^($A$1-COLUMN())))),1,0)</f>
        <v>1</v>
      </c>
      <c r="G222" s="126">
        <f>IF(ISODD( INT(表格4_711[[#This Row],[DEC]]/(2^($A$1-COLUMN())))),1,0)</f>
        <v>0</v>
      </c>
      <c r="H222" s="126">
        <f>IF(ISODD( INT(表格4_711[[#This Row],[DEC]]/(2^($A$1-COLUMN())))),1,0)</f>
        <v>0</v>
      </c>
      <c r="I222" s="212" t="str">
        <f xml:space="preserve"> IF(bitand(表格4_711[[#This Row],[DEC]],7)&lt;1,"//", VLOOKUP(INT(表格4_711[[#This Row],[DEC]]/8),表格4_7112[],5,FALSE))</f>
        <v>//ID27</v>
      </c>
      <c r="J222" s="147" t="str">
        <f xml:space="preserve"> VLOOKUP(bitand(表格4_711[[#This Row],[DEC]],8-1),表格2[],2,FALSE)</f>
        <v>_RangeDown</v>
      </c>
      <c r="K222" s="167" t="str">
        <f>CONCATENATE(表格4_711[[#This Row],[反應]],表格4_711[[#This Row],[補正]]," = ",表格4_711[[#This Row],[DEC]],",")</f>
        <v>//ID27_RangeDown = 220,</v>
      </c>
      <c r="L22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應27_範圍降低",</v>
      </c>
    </row>
    <row r="223" spans="2:12" x14ac:dyDescent="0.25">
      <c r="B223" s="99">
        <f t="shared" si="7"/>
        <v>221</v>
      </c>
      <c r="C223" s="125" t="str">
        <f>DEC2BIN(表格4_711[[#This Row],[DEC]]/2^($A$1-COLUMN()),3)</f>
        <v>110</v>
      </c>
      <c r="D223" s="126">
        <f>IF(ISODD( INT(表格4_711[[#This Row],[DEC]]/(2^($A$1-COLUMN())))),1,0)</f>
        <v>1</v>
      </c>
      <c r="E223" s="126">
        <f>IF(ISODD( INT(表格4_711[[#This Row],[DEC]]/(2^($A$1-COLUMN())))),1,0)</f>
        <v>1</v>
      </c>
      <c r="F223" s="127">
        <f>IF(ISODD( INT(表格4_711[[#This Row],[DEC]]/(2^($A$1-COLUMN())))),1,0)</f>
        <v>1</v>
      </c>
      <c r="G223" s="126">
        <f>IF(ISODD( INT(表格4_711[[#This Row],[DEC]]/(2^($A$1-COLUMN())))),1,0)</f>
        <v>0</v>
      </c>
      <c r="H223" s="126">
        <f>IF(ISODD( INT(表格4_711[[#This Row],[DEC]]/(2^($A$1-COLUMN())))),1,0)</f>
        <v>1</v>
      </c>
      <c r="I223" s="212" t="str">
        <f xml:space="preserve"> IF(bitand(表格4_711[[#This Row],[DEC]],7)&lt;1,"//", VLOOKUP(INT(表格4_711[[#This Row],[DEC]]/8),表格4_7112[],5,FALSE))</f>
        <v>//ID27</v>
      </c>
      <c r="J223" s="147" t="str">
        <f xml:space="preserve"> VLOOKUP(bitand(表格4_711[[#This Row],[DEC]],8-1),表格2[],2,FALSE)</f>
        <v>_RangeUP</v>
      </c>
      <c r="K223" s="167" t="str">
        <f>CONCATENATE(表格4_711[[#This Row],[反應]],表格4_711[[#This Row],[補正]]," = ",表格4_711[[#This Row],[DEC]],",")</f>
        <v>//ID27_RangeUP = 221,</v>
      </c>
      <c r="L22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應27_範圍提昇",</v>
      </c>
    </row>
    <row r="224" spans="2:12" x14ac:dyDescent="0.25">
      <c r="B224" s="99">
        <f t="shared" si="7"/>
        <v>222</v>
      </c>
      <c r="C224" s="125" t="str">
        <f>DEC2BIN(表格4_711[[#This Row],[DEC]]/2^($A$1-COLUMN()),3)</f>
        <v>110</v>
      </c>
      <c r="D224" s="126">
        <f>IF(ISODD( INT(表格4_711[[#This Row],[DEC]]/(2^($A$1-COLUMN())))),1,0)</f>
        <v>1</v>
      </c>
      <c r="E224" s="126">
        <f>IF(ISODD( INT(表格4_711[[#This Row],[DEC]]/(2^($A$1-COLUMN())))),1,0)</f>
        <v>1</v>
      </c>
      <c r="F224" s="127">
        <f>IF(ISODD( INT(表格4_711[[#This Row],[DEC]]/(2^($A$1-COLUMN())))),1,0)</f>
        <v>1</v>
      </c>
      <c r="G224" s="126">
        <f>IF(ISODD( INT(表格4_711[[#This Row],[DEC]]/(2^($A$1-COLUMN())))),1,0)</f>
        <v>1</v>
      </c>
      <c r="H224" s="126">
        <f>IF(ISODD( INT(表格4_711[[#This Row],[DEC]]/(2^($A$1-COLUMN())))),1,0)</f>
        <v>0</v>
      </c>
      <c r="I224" s="212" t="str">
        <f xml:space="preserve"> IF(bitand(表格4_711[[#This Row],[DEC]],7)&lt;1,"//", VLOOKUP(INT(表格4_711[[#This Row],[DEC]]/8),表格4_7112[],5,FALSE))</f>
        <v>//ID27</v>
      </c>
      <c r="J224" s="147" t="str">
        <f xml:space="preserve"> VLOOKUP(bitand(表格4_711[[#This Row],[DEC]],8-1),表格2[],2,FALSE)</f>
        <v>_IntensityDown</v>
      </c>
      <c r="K224" s="167" t="str">
        <f>CONCATENATE(表格4_711[[#This Row],[反應]],表格4_711[[#This Row],[補正]]," = ",表格4_711[[#This Row],[DEC]],",")</f>
        <v>//ID27_IntensityDown = 222,</v>
      </c>
      <c r="L2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應27_強度降低",</v>
      </c>
    </row>
    <row r="225" spans="2:12" x14ac:dyDescent="0.25">
      <c r="B225" s="99">
        <f t="shared" si="7"/>
        <v>223</v>
      </c>
      <c r="C225" s="125" t="str">
        <f>DEC2BIN(表格4_711[[#This Row],[DEC]]/2^($A$1-COLUMN()),3)</f>
        <v>110</v>
      </c>
      <c r="D225" s="126">
        <f>IF(ISODD( INT(表格4_711[[#This Row],[DEC]]/(2^($A$1-COLUMN())))),1,0)</f>
        <v>1</v>
      </c>
      <c r="E225" s="126">
        <f>IF(ISODD( INT(表格4_711[[#This Row],[DEC]]/(2^($A$1-COLUMN())))),1,0)</f>
        <v>1</v>
      </c>
      <c r="F225" s="127">
        <f>IF(ISODD( INT(表格4_711[[#This Row],[DEC]]/(2^($A$1-COLUMN())))),1,0)</f>
        <v>1</v>
      </c>
      <c r="G225" s="126">
        <f>IF(ISODD( INT(表格4_711[[#This Row],[DEC]]/(2^($A$1-COLUMN())))),1,0)</f>
        <v>1</v>
      </c>
      <c r="H225" s="126">
        <f>IF(ISODD( INT(表格4_711[[#This Row],[DEC]]/(2^($A$1-COLUMN())))),1,0)</f>
        <v>1</v>
      </c>
      <c r="I225" s="212" t="str">
        <f xml:space="preserve"> IF(bitand(表格4_711[[#This Row],[DEC]],7)&lt;1,"//", VLOOKUP(INT(表格4_711[[#This Row],[DEC]]/8),表格4_7112[],5,FALSE))</f>
        <v>//ID27</v>
      </c>
      <c r="J225" s="147" t="str">
        <f xml:space="preserve"> VLOOKUP(bitand(表格4_711[[#This Row],[DEC]],8-1),表格2[],2,FALSE)</f>
        <v>_IntensityUp</v>
      </c>
      <c r="K225" s="167" t="str">
        <f>CONCATENATE(表格4_711[[#This Row],[反應]],表格4_711[[#This Row],[補正]]," = ",表格4_711[[#This Row],[DEC]],",")</f>
        <v>//ID27_IntensityUp = 223,</v>
      </c>
      <c r="L2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應27_強度提昇",</v>
      </c>
    </row>
    <row r="226" spans="2:12" x14ac:dyDescent="0.25">
      <c r="B226" s="99">
        <f t="shared" si="7"/>
        <v>224</v>
      </c>
      <c r="C226" s="125" t="str">
        <f>DEC2BIN(表格4_711[[#This Row],[DEC]]/2^($A$1-COLUMN()),3)</f>
        <v>111</v>
      </c>
      <c r="D226" s="126">
        <f>IF(ISODD( INT(表格4_711[[#This Row],[DEC]]/(2^($A$1-COLUMN())))),1,0)</f>
        <v>0</v>
      </c>
      <c r="E226" s="126">
        <f>IF(ISODD( INT(表格4_711[[#This Row],[DEC]]/(2^($A$1-COLUMN())))),1,0)</f>
        <v>0</v>
      </c>
      <c r="F226" s="127">
        <f>IF(ISODD( INT(表格4_711[[#This Row],[DEC]]/(2^($A$1-COLUMN())))),1,0)</f>
        <v>0</v>
      </c>
      <c r="G226" s="126">
        <f>IF(ISODD( INT(表格4_711[[#This Row],[DEC]]/(2^($A$1-COLUMN())))),1,0)</f>
        <v>0</v>
      </c>
      <c r="H226" s="126">
        <f>IF(ISODD( INT(表格4_711[[#This Row],[DEC]]/(2^($A$1-COLUMN())))),1,0)</f>
        <v>0</v>
      </c>
      <c r="I226" s="192" t="str">
        <f xml:space="preserve"> IF(bitand(表格4_711[[#This Row],[DEC]],7)&lt;1,"//", VLOOKUP(INT(表格4_711[[#This Row],[DEC]]/8),表格4_7112[],5,FALSE))</f>
        <v>//</v>
      </c>
      <c r="J226" s="145" t="str">
        <f xml:space="preserve"> VLOOKUP(bitand(表格4_711[[#This Row],[DEC]],8-1),表格2[],2,FALSE)</f>
        <v/>
      </c>
      <c r="K226" s="144" t="str">
        <f>CONCATENATE(表格4_711[[#This Row],[反應]],表格4_711[[#This Row],[補正]]," = ",表格4_711[[#This Row],[DEC]],",")</f>
        <v>// = 224,</v>
      </c>
      <c r="L22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27" spans="2:12" x14ac:dyDescent="0.25">
      <c r="B227" s="99">
        <f t="shared" si="7"/>
        <v>225</v>
      </c>
      <c r="C227" s="125" t="str">
        <f>DEC2BIN(表格4_711[[#This Row],[DEC]]/2^($A$1-COLUMN()),3)</f>
        <v>111</v>
      </c>
      <c r="D227" s="126">
        <f>IF(ISODD( INT(表格4_711[[#This Row],[DEC]]/(2^($A$1-COLUMN())))),1,0)</f>
        <v>0</v>
      </c>
      <c r="E227" s="126">
        <f>IF(ISODD( INT(表格4_711[[#This Row],[DEC]]/(2^($A$1-COLUMN())))),1,0)</f>
        <v>0</v>
      </c>
      <c r="F227" s="127">
        <f>IF(ISODD( INT(表格4_711[[#This Row],[DEC]]/(2^($A$1-COLUMN())))),1,0)</f>
        <v>0</v>
      </c>
      <c r="G227" s="126">
        <f>IF(ISODD( INT(表格4_711[[#This Row],[DEC]]/(2^($A$1-COLUMN())))),1,0)</f>
        <v>0</v>
      </c>
      <c r="H227" s="126">
        <f>IF(ISODD( INT(表格4_711[[#This Row],[DEC]]/(2^($A$1-COLUMN())))),1,0)</f>
        <v>1</v>
      </c>
      <c r="I227" s="188" t="str">
        <f xml:space="preserve"> IF(bitand(表格4_711[[#This Row],[DEC]],7)&lt;1,"//", VLOOKUP(INT(表格4_711[[#This Row],[DEC]]/8),表格4_7112[],5,FALSE))</f>
        <v>//ID28</v>
      </c>
      <c r="J227" s="140" t="str">
        <f xml:space="preserve"> VLOOKUP(bitand(表格4_711[[#This Row],[DEC]],8-1),表格2[],2,FALSE)</f>
        <v/>
      </c>
      <c r="K227" s="140" t="str">
        <f>CONCATENATE(表格4_711[[#This Row],[反應]],表格4_711[[#This Row],[補正]]," = ",表格4_711[[#This Row],[DEC]],",")</f>
        <v>//ID28 = 225,</v>
      </c>
      <c r="L227" s="14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應28",</v>
      </c>
    </row>
    <row r="228" spans="2:12" x14ac:dyDescent="0.25">
      <c r="B228" s="57">
        <f t="shared" si="7"/>
        <v>226</v>
      </c>
      <c r="C228" s="122" t="str">
        <f>DEC2BIN(表格4_711[[#This Row],[DEC]]/2^($A$1-COLUMN()),3)</f>
        <v>111</v>
      </c>
      <c r="D228" s="123">
        <f>IF(ISODD( INT(表格4_711[[#This Row],[DEC]]/(2^($A$1-COLUMN())))),1,0)</f>
        <v>0</v>
      </c>
      <c r="E228" s="123">
        <f>IF(ISODD( INT(表格4_711[[#This Row],[DEC]]/(2^($A$1-COLUMN())))),1,0)</f>
        <v>0</v>
      </c>
      <c r="F228" s="124">
        <f>IF(ISODD( INT(表格4_711[[#This Row],[DEC]]/(2^($A$1-COLUMN())))),1,0)</f>
        <v>0</v>
      </c>
      <c r="G228" s="123">
        <f>IF(ISODD( INT(表格4_711[[#This Row],[DEC]]/(2^($A$1-COLUMN())))),1,0)</f>
        <v>1</v>
      </c>
      <c r="H228" s="123">
        <f>IF(ISODD( INT(表格4_711[[#This Row],[DEC]]/(2^($A$1-COLUMN())))),1,0)</f>
        <v>0</v>
      </c>
      <c r="I228" s="210" t="str">
        <f xml:space="preserve"> IF(bitand(表格4_711[[#This Row],[DEC]],7)&lt;1,"//", VLOOKUP(INT(表格4_711[[#This Row],[DEC]]/8),表格4_7112[],5,FALSE))</f>
        <v>//ID28</v>
      </c>
      <c r="J228" s="207" t="str">
        <f xml:space="preserve"> VLOOKUP(bitand(表格4_711[[#This Row],[DEC]],8-1),表格2[],2,FALSE)</f>
        <v>_Clear</v>
      </c>
      <c r="K228" s="168" t="str">
        <f>CONCATENATE(表格4_711[[#This Row],[反應]],表格4_711[[#This Row],[補正]]," = ",表格4_711[[#This Row],[DEC]],",")</f>
        <v>//ID28_Clear = 226,</v>
      </c>
      <c r="L2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應28_解除",</v>
      </c>
    </row>
    <row r="229" spans="2:12" x14ac:dyDescent="0.25">
      <c r="B229" s="99">
        <f t="shared" ref="B229:B240" si="8">ROW()-2</f>
        <v>227</v>
      </c>
      <c r="C229" s="125" t="str">
        <f>DEC2BIN(表格4_711[[#This Row],[DEC]]/2^($A$1-COLUMN()),3)</f>
        <v>111</v>
      </c>
      <c r="D229" s="126">
        <f>IF(ISODD( INT(表格4_711[[#This Row],[DEC]]/(2^($A$1-COLUMN())))),1,0)</f>
        <v>0</v>
      </c>
      <c r="E229" s="126">
        <f>IF(ISODD( INT(表格4_711[[#This Row],[DEC]]/(2^($A$1-COLUMN())))),1,0)</f>
        <v>0</v>
      </c>
      <c r="F229" s="127">
        <f>IF(ISODD( INT(表格4_711[[#This Row],[DEC]]/(2^($A$1-COLUMN())))),1,0)</f>
        <v>0</v>
      </c>
      <c r="G229" s="126">
        <f>IF(ISODD( INT(表格4_711[[#This Row],[DEC]]/(2^($A$1-COLUMN())))),1,0)</f>
        <v>1</v>
      </c>
      <c r="H229" s="126">
        <f>IF(ISODD( INT(表格4_711[[#This Row],[DEC]]/(2^($A$1-COLUMN())))),1,0)</f>
        <v>1</v>
      </c>
      <c r="I229" s="211" t="str">
        <f xml:space="preserve"> IF(bitand(表格4_711[[#This Row],[DEC]],7)&lt;1,"//", VLOOKUP(INT(表格4_711[[#This Row],[DEC]]/8),表格4_7112[],5,FALSE))</f>
        <v>//ID28</v>
      </c>
      <c r="J229" s="208" t="str">
        <f xml:space="preserve"> VLOOKUP(bitand(表格4_711[[#This Row],[DEC]],8-1),表格2[],2,FALSE)</f>
        <v>_Spread</v>
      </c>
      <c r="K229" s="167" t="str">
        <f>CONCATENATE(表格4_711[[#This Row],[反應]],表格4_711[[#This Row],[補正]]," = ",表格4_711[[#This Row],[DEC]],",")</f>
        <v>//ID28_Spread = 227,</v>
      </c>
      <c r="L2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應28_散播",</v>
      </c>
    </row>
    <row r="230" spans="2:12" x14ac:dyDescent="0.25">
      <c r="B230" s="99">
        <f t="shared" si="8"/>
        <v>228</v>
      </c>
      <c r="C230" s="125" t="str">
        <f>DEC2BIN(表格4_711[[#This Row],[DEC]]/2^($A$1-COLUMN()),3)</f>
        <v>111</v>
      </c>
      <c r="D230" s="126">
        <f>IF(ISODD( INT(表格4_711[[#This Row],[DEC]]/(2^($A$1-COLUMN())))),1,0)</f>
        <v>0</v>
      </c>
      <c r="E230" s="126">
        <f>IF(ISODD( INT(表格4_711[[#This Row],[DEC]]/(2^($A$1-COLUMN())))),1,0)</f>
        <v>0</v>
      </c>
      <c r="F230" s="127">
        <f>IF(ISODD( INT(表格4_711[[#This Row],[DEC]]/(2^($A$1-COLUMN())))),1,0)</f>
        <v>1</v>
      </c>
      <c r="G230" s="126">
        <f>IF(ISODD( INT(表格4_711[[#This Row],[DEC]]/(2^($A$1-COLUMN())))),1,0)</f>
        <v>0</v>
      </c>
      <c r="H230" s="126">
        <f>IF(ISODD( INT(表格4_711[[#This Row],[DEC]]/(2^($A$1-COLUMN())))),1,0)</f>
        <v>0</v>
      </c>
      <c r="I230" s="212" t="str">
        <f xml:space="preserve"> IF(bitand(表格4_711[[#This Row],[DEC]],7)&lt;1,"//", VLOOKUP(INT(表格4_711[[#This Row],[DEC]]/8),表格4_7112[],5,FALSE))</f>
        <v>//ID28</v>
      </c>
      <c r="J230" s="147" t="str">
        <f xml:space="preserve"> VLOOKUP(bitand(表格4_711[[#This Row],[DEC]],8-1),表格2[],2,FALSE)</f>
        <v>_RangeDown</v>
      </c>
      <c r="K230" s="167" t="str">
        <f>CONCATENATE(表格4_711[[#This Row],[反應]],表格4_711[[#This Row],[補正]]," = ",表格4_711[[#This Row],[DEC]],",")</f>
        <v>//ID28_RangeDown = 228,</v>
      </c>
      <c r="L23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應28_範圍降低",</v>
      </c>
    </row>
    <row r="231" spans="2:12" x14ac:dyDescent="0.25">
      <c r="B231" s="99">
        <f t="shared" si="8"/>
        <v>229</v>
      </c>
      <c r="C231" s="125" t="str">
        <f>DEC2BIN(表格4_711[[#This Row],[DEC]]/2^($A$1-COLUMN()),3)</f>
        <v>111</v>
      </c>
      <c r="D231" s="126">
        <f>IF(ISODD( INT(表格4_711[[#This Row],[DEC]]/(2^($A$1-COLUMN())))),1,0)</f>
        <v>0</v>
      </c>
      <c r="E231" s="126">
        <f>IF(ISODD( INT(表格4_711[[#This Row],[DEC]]/(2^($A$1-COLUMN())))),1,0)</f>
        <v>0</v>
      </c>
      <c r="F231" s="127">
        <f>IF(ISODD( INT(表格4_711[[#This Row],[DEC]]/(2^($A$1-COLUMN())))),1,0)</f>
        <v>1</v>
      </c>
      <c r="G231" s="126">
        <f>IF(ISODD( INT(表格4_711[[#This Row],[DEC]]/(2^($A$1-COLUMN())))),1,0)</f>
        <v>0</v>
      </c>
      <c r="H231" s="126">
        <f>IF(ISODD( INT(表格4_711[[#This Row],[DEC]]/(2^($A$1-COLUMN())))),1,0)</f>
        <v>1</v>
      </c>
      <c r="I231" s="212" t="str">
        <f xml:space="preserve"> IF(bitand(表格4_711[[#This Row],[DEC]],7)&lt;1,"//", VLOOKUP(INT(表格4_711[[#This Row],[DEC]]/8),表格4_7112[],5,FALSE))</f>
        <v>//ID28</v>
      </c>
      <c r="J231" s="147" t="str">
        <f xml:space="preserve"> VLOOKUP(bitand(表格4_711[[#This Row],[DEC]],8-1),表格2[],2,FALSE)</f>
        <v>_RangeUP</v>
      </c>
      <c r="K231" s="167" t="str">
        <f>CONCATENATE(表格4_711[[#This Row],[反應]],表格4_711[[#This Row],[補正]]," = ",表格4_711[[#This Row],[DEC]],",")</f>
        <v>//ID28_RangeUP = 229,</v>
      </c>
      <c r="L23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應28_範圍提昇",</v>
      </c>
    </row>
    <row r="232" spans="2:12" x14ac:dyDescent="0.25">
      <c r="B232" s="99">
        <f t="shared" si="8"/>
        <v>230</v>
      </c>
      <c r="C232" s="125" t="str">
        <f>DEC2BIN(表格4_711[[#This Row],[DEC]]/2^($A$1-COLUMN()),3)</f>
        <v>111</v>
      </c>
      <c r="D232" s="126">
        <f>IF(ISODD( INT(表格4_711[[#This Row],[DEC]]/(2^($A$1-COLUMN())))),1,0)</f>
        <v>0</v>
      </c>
      <c r="E232" s="126">
        <f>IF(ISODD( INT(表格4_711[[#This Row],[DEC]]/(2^($A$1-COLUMN())))),1,0)</f>
        <v>0</v>
      </c>
      <c r="F232" s="127">
        <f>IF(ISODD( INT(表格4_711[[#This Row],[DEC]]/(2^($A$1-COLUMN())))),1,0)</f>
        <v>1</v>
      </c>
      <c r="G232" s="126">
        <f>IF(ISODD( INT(表格4_711[[#This Row],[DEC]]/(2^($A$1-COLUMN())))),1,0)</f>
        <v>1</v>
      </c>
      <c r="H232" s="126">
        <f>IF(ISODD( INT(表格4_711[[#This Row],[DEC]]/(2^($A$1-COLUMN())))),1,0)</f>
        <v>0</v>
      </c>
      <c r="I232" s="212" t="str">
        <f xml:space="preserve"> IF(bitand(表格4_711[[#This Row],[DEC]],7)&lt;1,"//", VLOOKUP(INT(表格4_711[[#This Row],[DEC]]/8),表格4_7112[],5,FALSE))</f>
        <v>//ID28</v>
      </c>
      <c r="J232" s="147" t="str">
        <f xml:space="preserve"> VLOOKUP(bitand(表格4_711[[#This Row],[DEC]],8-1),表格2[],2,FALSE)</f>
        <v>_IntensityDown</v>
      </c>
      <c r="K232" s="167" t="str">
        <f>CONCATENATE(表格4_711[[#This Row],[反應]],表格4_711[[#This Row],[補正]]," = ",表格4_711[[#This Row],[DEC]],",")</f>
        <v>//ID28_IntensityDown = 230,</v>
      </c>
      <c r="L2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應28_強度降低",</v>
      </c>
    </row>
    <row r="233" spans="2:12" x14ac:dyDescent="0.25">
      <c r="B233" s="99">
        <f t="shared" si="8"/>
        <v>231</v>
      </c>
      <c r="C233" s="125" t="str">
        <f>DEC2BIN(表格4_711[[#This Row],[DEC]]/2^($A$1-COLUMN()),3)</f>
        <v>111</v>
      </c>
      <c r="D233" s="126">
        <f>IF(ISODD( INT(表格4_711[[#This Row],[DEC]]/(2^($A$1-COLUMN())))),1,0)</f>
        <v>0</v>
      </c>
      <c r="E233" s="126">
        <f>IF(ISODD( INT(表格4_711[[#This Row],[DEC]]/(2^($A$1-COLUMN())))),1,0)</f>
        <v>0</v>
      </c>
      <c r="F233" s="127">
        <f>IF(ISODD( INT(表格4_711[[#This Row],[DEC]]/(2^($A$1-COLUMN())))),1,0)</f>
        <v>1</v>
      </c>
      <c r="G233" s="126">
        <f>IF(ISODD( INT(表格4_711[[#This Row],[DEC]]/(2^($A$1-COLUMN())))),1,0)</f>
        <v>1</v>
      </c>
      <c r="H233" s="126">
        <f>IF(ISODD( INT(表格4_711[[#This Row],[DEC]]/(2^($A$1-COLUMN())))),1,0)</f>
        <v>1</v>
      </c>
      <c r="I233" s="212" t="str">
        <f xml:space="preserve"> IF(bitand(表格4_711[[#This Row],[DEC]],7)&lt;1,"//", VLOOKUP(INT(表格4_711[[#This Row],[DEC]]/8),表格4_7112[],5,FALSE))</f>
        <v>//ID28</v>
      </c>
      <c r="J233" s="147" t="str">
        <f xml:space="preserve"> VLOOKUP(bitand(表格4_711[[#This Row],[DEC]],8-1),表格2[],2,FALSE)</f>
        <v>_IntensityUp</v>
      </c>
      <c r="K233" s="167" t="str">
        <f>CONCATENATE(表格4_711[[#This Row],[反應]],表格4_711[[#This Row],[補正]]," = ",表格4_711[[#This Row],[DEC]],",")</f>
        <v>//ID28_IntensityUp = 231,</v>
      </c>
      <c r="L2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應28_強度提昇",</v>
      </c>
    </row>
    <row r="234" spans="2:12" x14ac:dyDescent="0.25">
      <c r="B234" s="99">
        <f t="shared" si="8"/>
        <v>232</v>
      </c>
      <c r="C234" s="125" t="str">
        <f>DEC2BIN(表格4_711[[#This Row],[DEC]]/2^($A$1-COLUMN()),3)</f>
        <v>111</v>
      </c>
      <c r="D234" s="126">
        <f>IF(ISODD( INT(表格4_711[[#This Row],[DEC]]/(2^($A$1-COLUMN())))),1,0)</f>
        <v>0</v>
      </c>
      <c r="E234" s="126">
        <f>IF(ISODD( INT(表格4_711[[#This Row],[DEC]]/(2^($A$1-COLUMN())))),1,0)</f>
        <v>1</v>
      </c>
      <c r="F234" s="127">
        <f>IF(ISODD( INT(表格4_711[[#This Row],[DEC]]/(2^($A$1-COLUMN())))),1,0)</f>
        <v>0</v>
      </c>
      <c r="G234" s="126">
        <f>IF(ISODD( INT(表格4_711[[#This Row],[DEC]]/(2^($A$1-COLUMN())))),1,0)</f>
        <v>0</v>
      </c>
      <c r="H234" s="126">
        <f>IF(ISODD( INT(表格4_711[[#This Row],[DEC]]/(2^($A$1-COLUMN())))),1,0)</f>
        <v>0</v>
      </c>
      <c r="I234" s="192" t="str">
        <f xml:space="preserve"> IF(bitand(表格4_711[[#This Row],[DEC]],7)&lt;1,"//", VLOOKUP(INT(表格4_711[[#This Row],[DEC]]/8),表格4_7112[],5,FALSE))</f>
        <v>//</v>
      </c>
      <c r="J234" s="145" t="str">
        <f xml:space="preserve"> VLOOKUP(bitand(表格4_711[[#This Row],[DEC]],8-1),表格2[],2,FALSE)</f>
        <v/>
      </c>
      <c r="K234" s="144" t="str">
        <f>CONCATENATE(表格4_711[[#This Row],[反應]],表格4_711[[#This Row],[補正]]," = ",表格4_711[[#This Row],[DEC]],",")</f>
        <v>// = 232,</v>
      </c>
      <c r="L23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35" spans="2:12" x14ac:dyDescent="0.25">
      <c r="B235" s="99">
        <f t="shared" si="8"/>
        <v>233</v>
      </c>
      <c r="C235" s="125" t="str">
        <f>DEC2BIN(表格4_711[[#This Row],[DEC]]/2^($A$1-COLUMN()),3)</f>
        <v>111</v>
      </c>
      <c r="D235" s="126">
        <f>IF(ISODD( INT(表格4_711[[#This Row],[DEC]]/(2^($A$1-COLUMN())))),1,0)</f>
        <v>0</v>
      </c>
      <c r="E235" s="126">
        <f>IF(ISODD( INT(表格4_711[[#This Row],[DEC]]/(2^($A$1-COLUMN())))),1,0)</f>
        <v>1</v>
      </c>
      <c r="F235" s="127">
        <f>IF(ISODD( INT(表格4_711[[#This Row],[DEC]]/(2^($A$1-COLUMN())))),1,0)</f>
        <v>0</v>
      </c>
      <c r="G235" s="126">
        <f>IF(ISODD( INT(表格4_711[[#This Row],[DEC]]/(2^($A$1-COLUMN())))),1,0)</f>
        <v>0</v>
      </c>
      <c r="H235" s="126">
        <f>IF(ISODD( INT(表格4_711[[#This Row],[DEC]]/(2^($A$1-COLUMN())))),1,0)</f>
        <v>1</v>
      </c>
      <c r="I235" s="189" t="str">
        <f xml:space="preserve"> IF(bitand(表格4_711[[#This Row],[DEC]],7)&lt;1,"//", VLOOKUP(INT(表格4_711[[#This Row],[DEC]]/8),表格4_7112[],5,FALSE))</f>
        <v>//ID29</v>
      </c>
      <c r="J235" s="141" t="str">
        <f xml:space="preserve"> VLOOKUP(bitand(表格4_711[[#This Row],[DEC]],8-1),表格2[],2,FALSE)</f>
        <v/>
      </c>
      <c r="K235" s="141" t="str">
        <f>CONCATENATE(表格4_711[[#This Row],[反應]],表格4_711[[#This Row],[補正]]," = ",表格4_711[[#This Row],[DEC]],",")</f>
        <v>//ID29 = 233,</v>
      </c>
      <c r="L235" s="14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應29",</v>
      </c>
    </row>
    <row r="236" spans="2:12" x14ac:dyDescent="0.25">
      <c r="B236" s="99">
        <f t="shared" si="8"/>
        <v>234</v>
      </c>
      <c r="C236" s="125" t="str">
        <f>DEC2BIN(表格4_711[[#This Row],[DEC]]/2^($A$1-COLUMN()),3)</f>
        <v>111</v>
      </c>
      <c r="D236" s="126">
        <f>IF(ISODD( INT(表格4_711[[#This Row],[DEC]]/(2^($A$1-COLUMN())))),1,0)</f>
        <v>0</v>
      </c>
      <c r="E236" s="126">
        <f>IF(ISODD( INT(表格4_711[[#This Row],[DEC]]/(2^($A$1-COLUMN())))),1,0)</f>
        <v>1</v>
      </c>
      <c r="F236" s="127">
        <f>IF(ISODD( INT(表格4_711[[#This Row],[DEC]]/(2^($A$1-COLUMN())))),1,0)</f>
        <v>0</v>
      </c>
      <c r="G236" s="126">
        <f>IF(ISODD( INT(表格4_711[[#This Row],[DEC]]/(2^($A$1-COLUMN())))),1,0)</f>
        <v>1</v>
      </c>
      <c r="H236" s="126">
        <f>IF(ISODD( INT(表格4_711[[#This Row],[DEC]]/(2^($A$1-COLUMN())))),1,0)</f>
        <v>0</v>
      </c>
      <c r="I236" s="210" t="str">
        <f xml:space="preserve"> IF(bitand(表格4_711[[#This Row],[DEC]],7)&lt;1,"//", VLOOKUP(INT(表格4_711[[#This Row],[DEC]]/8),表格4_7112[],5,FALSE))</f>
        <v>//ID29</v>
      </c>
      <c r="J236" s="207" t="str">
        <f xml:space="preserve"> VLOOKUP(bitand(表格4_711[[#This Row],[DEC]],8-1),表格2[],2,FALSE)</f>
        <v>_Clear</v>
      </c>
      <c r="K236" s="167" t="str">
        <f>CONCATENATE(表格4_711[[#This Row],[反應]],表格4_711[[#This Row],[補正]]," = ",表格4_711[[#This Row],[DEC]],",")</f>
        <v>//ID29_Clear = 234,</v>
      </c>
      <c r="L2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應29_解除",</v>
      </c>
    </row>
    <row r="237" spans="2:12" x14ac:dyDescent="0.25">
      <c r="B237" s="99">
        <f t="shared" si="8"/>
        <v>235</v>
      </c>
      <c r="C237" s="125" t="str">
        <f>DEC2BIN(表格4_711[[#This Row],[DEC]]/2^($A$1-COLUMN()),3)</f>
        <v>111</v>
      </c>
      <c r="D237" s="126">
        <f>IF(ISODD( INT(表格4_711[[#This Row],[DEC]]/(2^($A$1-COLUMN())))),1,0)</f>
        <v>0</v>
      </c>
      <c r="E237" s="126">
        <f>IF(ISODD( INT(表格4_711[[#This Row],[DEC]]/(2^($A$1-COLUMN())))),1,0)</f>
        <v>1</v>
      </c>
      <c r="F237" s="127">
        <f>IF(ISODD( INT(表格4_711[[#This Row],[DEC]]/(2^($A$1-COLUMN())))),1,0)</f>
        <v>0</v>
      </c>
      <c r="G237" s="126">
        <f>IF(ISODD( INT(表格4_711[[#This Row],[DEC]]/(2^($A$1-COLUMN())))),1,0)</f>
        <v>1</v>
      </c>
      <c r="H237" s="126">
        <f>IF(ISODD( INT(表格4_711[[#This Row],[DEC]]/(2^($A$1-COLUMN())))),1,0)</f>
        <v>1</v>
      </c>
      <c r="I237" s="211" t="str">
        <f xml:space="preserve"> IF(bitand(表格4_711[[#This Row],[DEC]],7)&lt;1,"//", VLOOKUP(INT(表格4_711[[#This Row],[DEC]]/8),表格4_7112[],5,FALSE))</f>
        <v>//ID29</v>
      </c>
      <c r="J237" s="208" t="str">
        <f xml:space="preserve"> VLOOKUP(bitand(表格4_711[[#This Row],[DEC]],8-1),表格2[],2,FALSE)</f>
        <v>_Spread</v>
      </c>
      <c r="K237" s="167" t="str">
        <f>CONCATENATE(表格4_711[[#This Row],[反應]],表格4_711[[#This Row],[補正]]," = ",表格4_711[[#This Row],[DEC]],",")</f>
        <v>//ID29_Spread = 235,</v>
      </c>
      <c r="L2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應29_散播",</v>
      </c>
    </row>
    <row r="238" spans="2:12" x14ac:dyDescent="0.25">
      <c r="B238" s="99">
        <f t="shared" si="8"/>
        <v>236</v>
      </c>
      <c r="C238" s="125" t="str">
        <f>DEC2BIN(表格4_711[[#This Row],[DEC]]/2^($A$1-COLUMN()),3)</f>
        <v>111</v>
      </c>
      <c r="D238" s="126">
        <f>IF(ISODD( INT(表格4_711[[#This Row],[DEC]]/(2^($A$1-COLUMN())))),1,0)</f>
        <v>0</v>
      </c>
      <c r="E238" s="126">
        <f>IF(ISODD( INT(表格4_711[[#This Row],[DEC]]/(2^($A$1-COLUMN())))),1,0)</f>
        <v>1</v>
      </c>
      <c r="F238" s="127">
        <f>IF(ISODD( INT(表格4_711[[#This Row],[DEC]]/(2^($A$1-COLUMN())))),1,0)</f>
        <v>1</v>
      </c>
      <c r="G238" s="126">
        <f>IF(ISODD( INT(表格4_711[[#This Row],[DEC]]/(2^($A$1-COLUMN())))),1,0)</f>
        <v>0</v>
      </c>
      <c r="H238" s="126">
        <f>IF(ISODD( INT(表格4_711[[#This Row],[DEC]]/(2^($A$1-COLUMN())))),1,0)</f>
        <v>0</v>
      </c>
      <c r="I238" s="212" t="str">
        <f xml:space="preserve"> IF(bitand(表格4_711[[#This Row],[DEC]],7)&lt;1,"//", VLOOKUP(INT(表格4_711[[#This Row],[DEC]]/8),表格4_7112[],5,FALSE))</f>
        <v>//ID29</v>
      </c>
      <c r="J238" s="147" t="str">
        <f xml:space="preserve"> VLOOKUP(bitand(表格4_711[[#This Row],[DEC]],8-1),表格2[],2,FALSE)</f>
        <v>_RangeDown</v>
      </c>
      <c r="K238" s="167" t="str">
        <f>CONCATENATE(表格4_711[[#This Row],[反應]],表格4_711[[#This Row],[補正]]," = ",表格4_711[[#This Row],[DEC]],",")</f>
        <v>//ID29_RangeDown = 236,</v>
      </c>
      <c r="L23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應29_範圍降低",</v>
      </c>
    </row>
    <row r="239" spans="2:12" x14ac:dyDescent="0.25">
      <c r="B239" s="99">
        <f t="shared" si="8"/>
        <v>237</v>
      </c>
      <c r="C239" s="125" t="str">
        <f>DEC2BIN(表格4_711[[#This Row],[DEC]]/2^($A$1-COLUMN()),3)</f>
        <v>111</v>
      </c>
      <c r="D239" s="126">
        <f>IF(ISODD( INT(表格4_711[[#This Row],[DEC]]/(2^($A$1-COLUMN())))),1,0)</f>
        <v>0</v>
      </c>
      <c r="E239" s="126">
        <f>IF(ISODD( INT(表格4_711[[#This Row],[DEC]]/(2^($A$1-COLUMN())))),1,0)</f>
        <v>1</v>
      </c>
      <c r="F239" s="127">
        <f>IF(ISODD( INT(表格4_711[[#This Row],[DEC]]/(2^($A$1-COLUMN())))),1,0)</f>
        <v>1</v>
      </c>
      <c r="G239" s="126">
        <f>IF(ISODD( INT(表格4_711[[#This Row],[DEC]]/(2^($A$1-COLUMN())))),1,0)</f>
        <v>0</v>
      </c>
      <c r="H239" s="126">
        <f>IF(ISODD( INT(表格4_711[[#This Row],[DEC]]/(2^($A$1-COLUMN())))),1,0)</f>
        <v>1</v>
      </c>
      <c r="I239" s="212" t="str">
        <f xml:space="preserve"> IF(bitand(表格4_711[[#This Row],[DEC]],7)&lt;1,"//", VLOOKUP(INT(表格4_711[[#This Row],[DEC]]/8),表格4_7112[],5,FALSE))</f>
        <v>//ID29</v>
      </c>
      <c r="J239" s="147" t="str">
        <f xml:space="preserve"> VLOOKUP(bitand(表格4_711[[#This Row],[DEC]],8-1),表格2[],2,FALSE)</f>
        <v>_RangeUP</v>
      </c>
      <c r="K239" s="167" t="str">
        <f>CONCATENATE(表格4_711[[#This Row],[反應]],表格4_711[[#This Row],[補正]]," = ",表格4_711[[#This Row],[DEC]],",")</f>
        <v>//ID29_RangeUP = 237,</v>
      </c>
      <c r="L23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應29_範圍提昇",</v>
      </c>
    </row>
    <row r="240" spans="2:12" x14ac:dyDescent="0.25">
      <c r="B240" s="57">
        <f t="shared" si="8"/>
        <v>238</v>
      </c>
      <c r="C240" s="122" t="str">
        <f>DEC2BIN(表格4_711[[#This Row],[DEC]]/2^($A$1-COLUMN()),3)</f>
        <v>111</v>
      </c>
      <c r="D240" s="123">
        <f>IF(ISODD( INT(表格4_711[[#This Row],[DEC]]/(2^($A$1-COLUMN())))),1,0)</f>
        <v>0</v>
      </c>
      <c r="E240" s="123">
        <f>IF(ISODD( INT(表格4_711[[#This Row],[DEC]]/(2^($A$1-COLUMN())))),1,0)</f>
        <v>1</v>
      </c>
      <c r="F240" s="124">
        <f>IF(ISODD( INT(表格4_711[[#This Row],[DEC]]/(2^($A$1-COLUMN())))),1,0)</f>
        <v>1</v>
      </c>
      <c r="G240" s="123">
        <f>IF(ISODD( INT(表格4_711[[#This Row],[DEC]]/(2^($A$1-COLUMN())))),1,0)</f>
        <v>1</v>
      </c>
      <c r="H240" s="123">
        <f>IF(ISODD( INT(表格4_711[[#This Row],[DEC]]/(2^($A$1-COLUMN())))),1,0)</f>
        <v>0</v>
      </c>
      <c r="I240" s="212" t="str">
        <f xml:space="preserve"> IF(bitand(表格4_711[[#This Row],[DEC]],7)&lt;1,"//", VLOOKUP(INT(表格4_711[[#This Row],[DEC]]/8),表格4_7112[],5,FALSE))</f>
        <v>//ID29</v>
      </c>
      <c r="J240" s="147" t="str">
        <f xml:space="preserve"> VLOOKUP(bitand(表格4_711[[#This Row],[DEC]],8-1),表格2[],2,FALSE)</f>
        <v>_IntensityDown</v>
      </c>
      <c r="K240" s="168" t="str">
        <f>CONCATENATE(表格4_711[[#This Row],[反應]],表格4_711[[#This Row],[補正]]," = ",表格4_711[[#This Row],[DEC]],",")</f>
        <v>//ID29_IntensityDown = 238,</v>
      </c>
      <c r="L2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應29_強度降低",</v>
      </c>
    </row>
    <row r="241" spans="2:12" x14ac:dyDescent="0.25">
      <c r="B241" s="99">
        <f t="shared" ref="B241:B243" si="9">ROW()-2</f>
        <v>239</v>
      </c>
      <c r="C241" s="125" t="str">
        <f>DEC2BIN(表格4_711[[#This Row],[DEC]]/2^($A$1-COLUMN()),3)</f>
        <v>111</v>
      </c>
      <c r="D241" s="126">
        <f>IF(ISODD( INT(表格4_711[[#This Row],[DEC]]/(2^($A$1-COLUMN())))),1,0)</f>
        <v>0</v>
      </c>
      <c r="E241" s="126">
        <f>IF(ISODD( INT(表格4_711[[#This Row],[DEC]]/(2^($A$1-COLUMN())))),1,0)</f>
        <v>1</v>
      </c>
      <c r="F241" s="127">
        <f>IF(ISODD( INT(表格4_711[[#This Row],[DEC]]/(2^($A$1-COLUMN())))),1,0)</f>
        <v>1</v>
      </c>
      <c r="G241" s="126">
        <f>IF(ISODD( INT(表格4_711[[#This Row],[DEC]]/(2^($A$1-COLUMN())))),1,0)</f>
        <v>1</v>
      </c>
      <c r="H241" s="126">
        <f>IF(ISODD( INT(表格4_711[[#This Row],[DEC]]/(2^($A$1-COLUMN())))),1,0)</f>
        <v>1</v>
      </c>
      <c r="I241" s="212" t="str">
        <f xml:space="preserve"> IF(bitand(表格4_711[[#This Row],[DEC]],7)&lt;1,"//", VLOOKUP(INT(表格4_711[[#This Row],[DEC]]/8),表格4_7112[],5,FALSE))</f>
        <v>//ID29</v>
      </c>
      <c r="J241" s="147" t="str">
        <f xml:space="preserve"> VLOOKUP(bitand(表格4_711[[#This Row],[DEC]],8-1),表格2[],2,FALSE)</f>
        <v>_IntensityUp</v>
      </c>
      <c r="K241" s="167" t="str">
        <f>CONCATENATE(表格4_711[[#This Row],[反應]],表格4_711[[#This Row],[補正]]," = ",表格4_711[[#This Row],[DEC]],",")</f>
        <v>//ID29_IntensityUp = 239,</v>
      </c>
      <c r="L2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應29_強度提昇",</v>
      </c>
    </row>
    <row r="242" spans="2:12" x14ac:dyDescent="0.25">
      <c r="B242" s="99">
        <f t="shared" si="9"/>
        <v>240</v>
      </c>
      <c r="C242" s="125" t="str">
        <f>DEC2BIN(表格4_711[[#This Row],[DEC]]/2^($A$1-COLUMN()),3)</f>
        <v>111</v>
      </c>
      <c r="D242" s="126">
        <f>IF(ISODD( INT(表格4_711[[#This Row],[DEC]]/(2^($A$1-COLUMN())))),1,0)</f>
        <v>1</v>
      </c>
      <c r="E242" s="126">
        <f>IF(ISODD( INT(表格4_711[[#This Row],[DEC]]/(2^($A$1-COLUMN())))),1,0)</f>
        <v>0</v>
      </c>
      <c r="F242" s="127">
        <f>IF(ISODD( INT(表格4_711[[#This Row],[DEC]]/(2^($A$1-COLUMN())))),1,0)</f>
        <v>0</v>
      </c>
      <c r="G242" s="126">
        <f>IF(ISODD( INT(表格4_711[[#This Row],[DEC]]/(2^($A$1-COLUMN())))),1,0)</f>
        <v>0</v>
      </c>
      <c r="H242" s="126">
        <f>IF(ISODD( INT(表格4_711[[#This Row],[DEC]]/(2^($A$1-COLUMN())))),1,0)</f>
        <v>0</v>
      </c>
      <c r="I242" s="192" t="str">
        <f xml:space="preserve"> IF(bitand(表格4_711[[#This Row],[DEC]],7)&lt;1,"//", VLOOKUP(INT(表格4_711[[#This Row],[DEC]]/8),表格4_7112[],5,FALSE))</f>
        <v>//</v>
      </c>
      <c r="J242" s="145" t="str">
        <f xml:space="preserve"> VLOOKUP(bitand(表格4_711[[#This Row],[DEC]],8-1),表格2[],2,FALSE)</f>
        <v/>
      </c>
      <c r="K242" s="144" t="str">
        <f>CONCATENATE(表格4_711[[#This Row],[反應]],表格4_711[[#This Row],[補正]]," = ",表格4_711[[#This Row],[DEC]],",")</f>
        <v>// = 240,</v>
      </c>
      <c r="L24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43" spans="2:12" x14ac:dyDescent="0.25">
      <c r="B243" s="57">
        <f t="shared" si="9"/>
        <v>241</v>
      </c>
      <c r="C243" s="122" t="str">
        <f>DEC2BIN(表格4_711[[#This Row],[DEC]]/2^($A$1-COLUMN()),3)</f>
        <v>111</v>
      </c>
      <c r="D243" s="123">
        <f>IF(ISODD( INT(表格4_711[[#This Row],[DEC]]/(2^($A$1-COLUMN())))),1,0)</f>
        <v>1</v>
      </c>
      <c r="E243" s="123">
        <f>IF(ISODD( INT(表格4_711[[#This Row],[DEC]]/(2^($A$1-COLUMN())))),1,0)</f>
        <v>0</v>
      </c>
      <c r="F243" s="124">
        <f>IF(ISODD( INT(表格4_711[[#This Row],[DEC]]/(2^($A$1-COLUMN())))),1,0)</f>
        <v>0</v>
      </c>
      <c r="G243" s="123">
        <f>IF(ISODD( INT(表格4_711[[#This Row],[DEC]]/(2^($A$1-COLUMN())))),1,0)</f>
        <v>0</v>
      </c>
      <c r="H243" s="123">
        <f>IF(ISODD( INT(表格4_711[[#This Row],[DEC]]/(2^($A$1-COLUMN())))),1,0)</f>
        <v>1</v>
      </c>
      <c r="I243" s="190" t="str">
        <f xml:space="preserve"> IF(bitand(表格4_711[[#This Row],[DEC]],7)&lt;1,"//", VLOOKUP(INT(表格4_711[[#This Row],[DEC]]/8),表格4_7112[],5,FALSE))</f>
        <v>//ID30</v>
      </c>
      <c r="J243" s="142" t="str">
        <f xml:space="preserve"> VLOOKUP(bitand(表格4_711[[#This Row],[DEC]],8-1),表格2[],2,FALSE)</f>
        <v/>
      </c>
      <c r="K243" s="142" t="str">
        <f>CONCATENATE(表格4_711[[#This Row],[反應]],表格4_711[[#This Row],[補正]]," = ",表格4_711[[#This Row],[DEC]],",")</f>
        <v>//ID30 = 241,</v>
      </c>
      <c r="L243" s="14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應30",</v>
      </c>
    </row>
    <row r="244" spans="2:12" x14ac:dyDescent="0.25">
      <c r="B244" s="99">
        <f t="shared" ref="B244:B253" si="10">ROW()-2</f>
        <v>242</v>
      </c>
      <c r="C244" s="125" t="str">
        <f>DEC2BIN(表格4_711[[#This Row],[DEC]]/2^($A$1-COLUMN()),3)</f>
        <v>111</v>
      </c>
      <c r="D244" s="126">
        <f>IF(ISODD( INT(表格4_711[[#This Row],[DEC]]/(2^($A$1-COLUMN())))),1,0)</f>
        <v>1</v>
      </c>
      <c r="E244" s="126">
        <f>IF(ISODD( INT(表格4_711[[#This Row],[DEC]]/(2^($A$1-COLUMN())))),1,0)</f>
        <v>0</v>
      </c>
      <c r="F244" s="127">
        <f>IF(ISODD( INT(表格4_711[[#This Row],[DEC]]/(2^($A$1-COLUMN())))),1,0)</f>
        <v>0</v>
      </c>
      <c r="G244" s="126">
        <f>IF(ISODD( INT(表格4_711[[#This Row],[DEC]]/(2^($A$1-COLUMN())))),1,0)</f>
        <v>1</v>
      </c>
      <c r="H244" s="126">
        <f>IF(ISODD( INT(表格4_711[[#This Row],[DEC]]/(2^($A$1-COLUMN())))),1,0)</f>
        <v>0</v>
      </c>
      <c r="I244" s="210" t="str">
        <f xml:space="preserve"> IF(bitand(表格4_711[[#This Row],[DEC]],7)&lt;1,"//", VLOOKUP(INT(表格4_711[[#This Row],[DEC]]/8),表格4_7112[],5,FALSE))</f>
        <v>//ID30</v>
      </c>
      <c r="J244" s="207" t="str">
        <f xml:space="preserve"> VLOOKUP(bitand(表格4_711[[#This Row],[DEC]],8-1),表格2[],2,FALSE)</f>
        <v>_Clear</v>
      </c>
      <c r="K244" s="167" t="str">
        <f>CONCATENATE(表格4_711[[#This Row],[反應]],表格4_711[[#This Row],[補正]]," = ",表格4_711[[#This Row],[DEC]],",")</f>
        <v>//ID30_Clear = 242,</v>
      </c>
      <c r="L2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應30_解除",</v>
      </c>
    </row>
    <row r="245" spans="2:12" x14ac:dyDescent="0.25">
      <c r="B245" s="99">
        <f t="shared" si="10"/>
        <v>243</v>
      </c>
      <c r="C245" s="125" t="str">
        <f>DEC2BIN(表格4_711[[#This Row],[DEC]]/2^($A$1-COLUMN()),3)</f>
        <v>111</v>
      </c>
      <c r="D245" s="126">
        <f>IF(ISODD( INT(表格4_711[[#This Row],[DEC]]/(2^($A$1-COLUMN())))),1,0)</f>
        <v>1</v>
      </c>
      <c r="E245" s="126">
        <f>IF(ISODD( INT(表格4_711[[#This Row],[DEC]]/(2^($A$1-COLUMN())))),1,0)</f>
        <v>0</v>
      </c>
      <c r="F245" s="127">
        <f>IF(ISODD( INT(表格4_711[[#This Row],[DEC]]/(2^($A$1-COLUMN())))),1,0)</f>
        <v>0</v>
      </c>
      <c r="G245" s="126">
        <f>IF(ISODD( INT(表格4_711[[#This Row],[DEC]]/(2^($A$1-COLUMN())))),1,0)</f>
        <v>1</v>
      </c>
      <c r="H245" s="126">
        <f>IF(ISODD( INT(表格4_711[[#This Row],[DEC]]/(2^($A$1-COLUMN())))),1,0)</f>
        <v>1</v>
      </c>
      <c r="I245" s="211" t="str">
        <f xml:space="preserve"> IF(bitand(表格4_711[[#This Row],[DEC]],7)&lt;1,"//", VLOOKUP(INT(表格4_711[[#This Row],[DEC]]/8),表格4_7112[],5,FALSE))</f>
        <v>//ID30</v>
      </c>
      <c r="J245" s="208" t="str">
        <f xml:space="preserve"> VLOOKUP(bitand(表格4_711[[#This Row],[DEC]],8-1),表格2[],2,FALSE)</f>
        <v>_Spread</v>
      </c>
      <c r="K245" s="167" t="str">
        <f>CONCATENATE(表格4_711[[#This Row],[反應]],表格4_711[[#This Row],[補正]]," = ",表格4_711[[#This Row],[DEC]],",")</f>
        <v>//ID30_Spread = 243,</v>
      </c>
      <c r="L2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應30_散播",</v>
      </c>
    </row>
    <row r="246" spans="2:12" x14ac:dyDescent="0.25">
      <c r="B246" s="99">
        <f t="shared" si="10"/>
        <v>244</v>
      </c>
      <c r="C246" s="125" t="str">
        <f>DEC2BIN(表格4_711[[#This Row],[DEC]]/2^($A$1-COLUMN()),3)</f>
        <v>111</v>
      </c>
      <c r="D246" s="126">
        <f>IF(ISODD( INT(表格4_711[[#This Row],[DEC]]/(2^($A$1-COLUMN())))),1,0)</f>
        <v>1</v>
      </c>
      <c r="E246" s="126">
        <f>IF(ISODD( INT(表格4_711[[#This Row],[DEC]]/(2^($A$1-COLUMN())))),1,0)</f>
        <v>0</v>
      </c>
      <c r="F246" s="127">
        <f>IF(ISODD( INT(表格4_711[[#This Row],[DEC]]/(2^($A$1-COLUMN())))),1,0)</f>
        <v>1</v>
      </c>
      <c r="G246" s="126">
        <f>IF(ISODD( INT(表格4_711[[#This Row],[DEC]]/(2^($A$1-COLUMN())))),1,0)</f>
        <v>0</v>
      </c>
      <c r="H246" s="126">
        <f>IF(ISODD( INT(表格4_711[[#This Row],[DEC]]/(2^($A$1-COLUMN())))),1,0)</f>
        <v>0</v>
      </c>
      <c r="I246" s="212" t="str">
        <f xml:space="preserve"> IF(bitand(表格4_711[[#This Row],[DEC]],7)&lt;1,"//", VLOOKUP(INT(表格4_711[[#This Row],[DEC]]/8),表格4_7112[],5,FALSE))</f>
        <v>//ID30</v>
      </c>
      <c r="J246" s="147" t="str">
        <f xml:space="preserve"> VLOOKUP(bitand(表格4_711[[#This Row],[DEC]],8-1),表格2[],2,FALSE)</f>
        <v>_RangeDown</v>
      </c>
      <c r="K246" s="167" t="str">
        <f>CONCATENATE(表格4_711[[#This Row],[反應]],表格4_711[[#This Row],[補正]]," = ",表格4_711[[#This Row],[DEC]],",")</f>
        <v>//ID30_RangeDown = 244,</v>
      </c>
      <c r="L24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應30_範圍降低",</v>
      </c>
    </row>
    <row r="247" spans="2:12" x14ac:dyDescent="0.25">
      <c r="B247" s="99">
        <f t="shared" si="10"/>
        <v>245</v>
      </c>
      <c r="C247" s="125" t="str">
        <f>DEC2BIN(表格4_711[[#This Row],[DEC]]/2^($A$1-COLUMN()),3)</f>
        <v>111</v>
      </c>
      <c r="D247" s="126">
        <f>IF(ISODD( INT(表格4_711[[#This Row],[DEC]]/(2^($A$1-COLUMN())))),1,0)</f>
        <v>1</v>
      </c>
      <c r="E247" s="126">
        <f>IF(ISODD( INT(表格4_711[[#This Row],[DEC]]/(2^($A$1-COLUMN())))),1,0)</f>
        <v>0</v>
      </c>
      <c r="F247" s="127">
        <f>IF(ISODD( INT(表格4_711[[#This Row],[DEC]]/(2^($A$1-COLUMN())))),1,0)</f>
        <v>1</v>
      </c>
      <c r="G247" s="126">
        <f>IF(ISODD( INT(表格4_711[[#This Row],[DEC]]/(2^($A$1-COLUMN())))),1,0)</f>
        <v>0</v>
      </c>
      <c r="H247" s="126">
        <f>IF(ISODD( INT(表格4_711[[#This Row],[DEC]]/(2^($A$1-COLUMN())))),1,0)</f>
        <v>1</v>
      </c>
      <c r="I247" s="212" t="str">
        <f xml:space="preserve"> IF(bitand(表格4_711[[#This Row],[DEC]],7)&lt;1,"//", VLOOKUP(INT(表格4_711[[#This Row],[DEC]]/8),表格4_7112[],5,FALSE))</f>
        <v>//ID30</v>
      </c>
      <c r="J247" s="147" t="str">
        <f xml:space="preserve"> VLOOKUP(bitand(表格4_711[[#This Row],[DEC]],8-1),表格2[],2,FALSE)</f>
        <v>_RangeUP</v>
      </c>
      <c r="K247" s="167" t="str">
        <f>CONCATENATE(表格4_711[[#This Row],[反應]],表格4_711[[#This Row],[補正]]," = ",表格4_711[[#This Row],[DEC]],",")</f>
        <v>//ID30_RangeUP = 245,</v>
      </c>
      <c r="L24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應30_範圍提昇",</v>
      </c>
    </row>
    <row r="248" spans="2:12" x14ac:dyDescent="0.25">
      <c r="B248" s="99">
        <f t="shared" si="10"/>
        <v>246</v>
      </c>
      <c r="C248" s="125" t="str">
        <f>DEC2BIN(表格4_711[[#This Row],[DEC]]/2^($A$1-COLUMN()),3)</f>
        <v>111</v>
      </c>
      <c r="D248" s="126">
        <f>IF(ISODD( INT(表格4_711[[#This Row],[DEC]]/(2^($A$1-COLUMN())))),1,0)</f>
        <v>1</v>
      </c>
      <c r="E248" s="126">
        <f>IF(ISODD( INT(表格4_711[[#This Row],[DEC]]/(2^($A$1-COLUMN())))),1,0)</f>
        <v>0</v>
      </c>
      <c r="F248" s="127">
        <f>IF(ISODD( INT(表格4_711[[#This Row],[DEC]]/(2^($A$1-COLUMN())))),1,0)</f>
        <v>1</v>
      </c>
      <c r="G248" s="126">
        <f>IF(ISODD( INT(表格4_711[[#This Row],[DEC]]/(2^($A$1-COLUMN())))),1,0)</f>
        <v>1</v>
      </c>
      <c r="H248" s="126">
        <f>IF(ISODD( INT(表格4_711[[#This Row],[DEC]]/(2^($A$1-COLUMN())))),1,0)</f>
        <v>0</v>
      </c>
      <c r="I248" s="212" t="str">
        <f xml:space="preserve"> IF(bitand(表格4_711[[#This Row],[DEC]],7)&lt;1,"//", VLOOKUP(INT(表格4_711[[#This Row],[DEC]]/8),表格4_7112[],5,FALSE))</f>
        <v>//ID30</v>
      </c>
      <c r="J248" s="147" t="str">
        <f xml:space="preserve"> VLOOKUP(bitand(表格4_711[[#This Row],[DEC]],8-1),表格2[],2,FALSE)</f>
        <v>_IntensityDown</v>
      </c>
      <c r="K248" s="167" t="str">
        <f>CONCATENATE(表格4_711[[#This Row],[反應]],表格4_711[[#This Row],[補正]]," = ",表格4_711[[#This Row],[DEC]],",")</f>
        <v>//ID30_IntensityDown = 246,</v>
      </c>
      <c r="L2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應30_強度降低",</v>
      </c>
    </row>
    <row r="249" spans="2:12" x14ac:dyDescent="0.25">
      <c r="B249" s="99">
        <f t="shared" si="10"/>
        <v>247</v>
      </c>
      <c r="C249" s="125" t="str">
        <f>DEC2BIN(表格4_711[[#This Row],[DEC]]/2^($A$1-COLUMN()),3)</f>
        <v>111</v>
      </c>
      <c r="D249" s="126">
        <f>IF(ISODD( INT(表格4_711[[#This Row],[DEC]]/(2^($A$1-COLUMN())))),1,0)</f>
        <v>1</v>
      </c>
      <c r="E249" s="126">
        <f>IF(ISODD( INT(表格4_711[[#This Row],[DEC]]/(2^($A$1-COLUMN())))),1,0)</f>
        <v>0</v>
      </c>
      <c r="F249" s="127">
        <f>IF(ISODD( INT(表格4_711[[#This Row],[DEC]]/(2^($A$1-COLUMN())))),1,0)</f>
        <v>1</v>
      </c>
      <c r="G249" s="126">
        <f>IF(ISODD( INT(表格4_711[[#This Row],[DEC]]/(2^($A$1-COLUMN())))),1,0)</f>
        <v>1</v>
      </c>
      <c r="H249" s="126">
        <f>IF(ISODD( INT(表格4_711[[#This Row],[DEC]]/(2^($A$1-COLUMN())))),1,0)</f>
        <v>1</v>
      </c>
      <c r="I249" s="212" t="str">
        <f xml:space="preserve"> IF(bitand(表格4_711[[#This Row],[DEC]],7)&lt;1,"//", VLOOKUP(INT(表格4_711[[#This Row],[DEC]]/8),表格4_7112[],5,FALSE))</f>
        <v>//ID30</v>
      </c>
      <c r="J249" s="147" t="str">
        <f xml:space="preserve"> VLOOKUP(bitand(表格4_711[[#This Row],[DEC]],8-1),表格2[],2,FALSE)</f>
        <v>_IntensityUp</v>
      </c>
      <c r="K249" s="167" t="str">
        <f>CONCATENATE(表格4_711[[#This Row],[反應]],表格4_711[[#This Row],[補正]]," = ",表格4_711[[#This Row],[DEC]],",")</f>
        <v>//ID30_IntensityUp = 247,</v>
      </c>
      <c r="L2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應30_強度提昇",</v>
      </c>
    </row>
    <row r="250" spans="2:12" x14ac:dyDescent="0.25">
      <c r="B250" s="99">
        <f t="shared" si="10"/>
        <v>248</v>
      </c>
      <c r="C250" s="125" t="str">
        <f>DEC2BIN(表格4_711[[#This Row],[DEC]]/2^($A$1-COLUMN()),3)</f>
        <v>111</v>
      </c>
      <c r="D250" s="126">
        <f>IF(ISODD( INT(表格4_711[[#This Row],[DEC]]/(2^($A$1-COLUMN())))),1,0)</f>
        <v>1</v>
      </c>
      <c r="E250" s="126">
        <f>IF(ISODD( INT(表格4_711[[#This Row],[DEC]]/(2^($A$1-COLUMN())))),1,0)</f>
        <v>1</v>
      </c>
      <c r="F250" s="127">
        <f>IF(ISODD( INT(表格4_711[[#This Row],[DEC]]/(2^($A$1-COLUMN())))),1,0)</f>
        <v>0</v>
      </c>
      <c r="G250" s="126">
        <f>IF(ISODD( INT(表格4_711[[#This Row],[DEC]]/(2^($A$1-COLUMN())))),1,0)</f>
        <v>0</v>
      </c>
      <c r="H250" s="126">
        <f>IF(ISODD( INT(表格4_711[[#This Row],[DEC]]/(2^($A$1-COLUMN())))),1,0)</f>
        <v>0</v>
      </c>
      <c r="I250" s="192" t="str">
        <f xml:space="preserve"> IF(bitand(表格4_711[[#This Row],[DEC]],7)&lt;1,"//", VLOOKUP(INT(表格4_711[[#This Row],[DEC]]/8),表格4_7112[],5,FALSE))</f>
        <v>//</v>
      </c>
      <c r="J250" s="145" t="str">
        <f xml:space="preserve"> VLOOKUP(bitand(表格4_711[[#This Row],[DEC]],8-1),表格2[],2,FALSE)</f>
        <v/>
      </c>
      <c r="K250" s="144" t="str">
        <f>CONCATENATE(表格4_711[[#This Row],[反應]],表格4_711[[#This Row],[補正]]," = ",表格4_711[[#This Row],[DEC]],",")</f>
        <v>// = 248,</v>
      </c>
      <c r="L25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51" spans="2:12" x14ac:dyDescent="0.25">
      <c r="B251" s="99">
        <f t="shared" si="10"/>
        <v>249</v>
      </c>
      <c r="C251" s="125" t="str">
        <f>DEC2BIN(表格4_711[[#This Row],[DEC]]/2^($A$1-COLUMN()),3)</f>
        <v>111</v>
      </c>
      <c r="D251" s="126">
        <f>IF(ISODD( INT(表格4_711[[#This Row],[DEC]]/(2^($A$1-COLUMN())))),1,0)</f>
        <v>1</v>
      </c>
      <c r="E251" s="126">
        <f>IF(ISODD( INT(表格4_711[[#This Row],[DEC]]/(2^($A$1-COLUMN())))),1,0)</f>
        <v>1</v>
      </c>
      <c r="F251" s="127">
        <f>IF(ISODD( INT(表格4_711[[#This Row],[DEC]]/(2^($A$1-COLUMN())))),1,0)</f>
        <v>0</v>
      </c>
      <c r="G251" s="126">
        <f>IF(ISODD( INT(表格4_711[[#This Row],[DEC]]/(2^($A$1-COLUMN())))),1,0)</f>
        <v>0</v>
      </c>
      <c r="H251" s="126">
        <f>IF(ISODD( INT(表格4_711[[#This Row],[DEC]]/(2^($A$1-COLUMN())))),1,0)</f>
        <v>1</v>
      </c>
      <c r="I251" s="191" t="str">
        <f xml:space="preserve"> IF(bitand(表格4_711[[#This Row],[DEC]],7)&lt;1,"//", VLOOKUP(INT(表格4_711[[#This Row],[DEC]]/8),表格4_7112[],5,FALSE))</f>
        <v>//ID31</v>
      </c>
      <c r="J251" s="143" t="str">
        <f xml:space="preserve"> VLOOKUP(bitand(表格4_711[[#This Row],[DEC]],8-1),表格2[],2,FALSE)</f>
        <v/>
      </c>
      <c r="K251" s="143" t="str">
        <f>CONCATENATE(表格4_711[[#This Row],[反應]],表格4_711[[#This Row],[補正]]," = ",表格4_711[[#This Row],[DEC]],",")</f>
        <v>//ID31 = 249,</v>
      </c>
      <c r="L251" s="14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應31",</v>
      </c>
    </row>
    <row r="252" spans="2:12" x14ac:dyDescent="0.25">
      <c r="B252" s="99">
        <f t="shared" si="10"/>
        <v>250</v>
      </c>
      <c r="C252" s="125" t="str">
        <f>DEC2BIN(表格4_711[[#This Row],[DEC]]/2^($A$1-COLUMN()),3)</f>
        <v>111</v>
      </c>
      <c r="D252" s="126">
        <f>IF(ISODD( INT(表格4_711[[#This Row],[DEC]]/(2^($A$1-COLUMN())))),1,0)</f>
        <v>1</v>
      </c>
      <c r="E252" s="126">
        <f>IF(ISODD( INT(表格4_711[[#This Row],[DEC]]/(2^($A$1-COLUMN())))),1,0)</f>
        <v>1</v>
      </c>
      <c r="F252" s="127">
        <f>IF(ISODD( INT(表格4_711[[#This Row],[DEC]]/(2^($A$1-COLUMN())))),1,0)</f>
        <v>0</v>
      </c>
      <c r="G252" s="126">
        <f>IF(ISODD( INT(表格4_711[[#This Row],[DEC]]/(2^($A$1-COLUMN())))),1,0)</f>
        <v>1</v>
      </c>
      <c r="H252" s="126">
        <f>IF(ISODD( INT(表格4_711[[#This Row],[DEC]]/(2^($A$1-COLUMN())))),1,0)</f>
        <v>0</v>
      </c>
      <c r="I252" s="210" t="str">
        <f xml:space="preserve"> IF(bitand(表格4_711[[#This Row],[DEC]],7)&lt;1,"//", VLOOKUP(INT(表格4_711[[#This Row],[DEC]]/8),表格4_7112[],5,FALSE))</f>
        <v>//ID31</v>
      </c>
      <c r="J252" s="207" t="str">
        <f xml:space="preserve"> VLOOKUP(bitand(表格4_711[[#This Row],[DEC]],8-1),表格2[],2,FALSE)</f>
        <v>_Clear</v>
      </c>
      <c r="K252" s="167" t="str">
        <f>CONCATENATE(表格4_711[[#This Row],[反應]],表格4_711[[#This Row],[補正]]," = ",表格4_711[[#This Row],[DEC]],",")</f>
        <v>//ID31_Clear = 250,</v>
      </c>
      <c r="L2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應31_解除",</v>
      </c>
    </row>
    <row r="253" spans="2:12" x14ac:dyDescent="0.25">
      <c r="B253" s="57">
        <f t="shared" si="10"/>
        <v>251</v>
      </c>
      <c r="C253" s="122" t="str">
        <f>DEC2BIN(表格4_711[[#This Row],[DEC]]/2^($A$1-COLUMN()),3)</f>
        <v>111</v>
      </c>
      <c r="D253" s="123">
        <f>IF(ISODD( INT(表格4_711[[#This Row],[DEC]]/(2^($A$1-COLUMN())))),1,0)</f>
        <v>1</v>
      </c>
      <c r="E253" s="123">
        <f>IF(ISODD( INT(表格4_711[[#This Row],[DEC]]/(2^($A$1-COLUMN())))),1,0)</f>
        <v>1</v>
      </c>
      <c r="F253" s="124">
        <f>IF(ISODD( INT(表格4_711[[#This Row],[DEC]]/(2^($A$1-COLUMN())))),1,0)</f>
        <v>0</v>
      </c>
      <c r="G253" s="123">
        <f>IF(ISODD( INT(表格4_711[[#This Row],[DEC]]/(2^($A$1-COLUMN())))),1,0)</f>
        <v>1</v>
      </c>
      <c r="H253" s="123">
        <f>IF(ISODD( INT(表格4_711[[#This Row],[DEC]]/(2^($A$1-COLUMN())))),1,0)</f>
        <v>1</v>
      </c>
      <c r="I253" s="211" t="str">
        <f xml:space="preserve"> IF(bitand(表格4_711[[#This Row],[DEC]],7)&lt;1,"//", VLOOKUP(INT(表格4_711[[#This Row],[DEC]]/8),表格4_7112[],5,FALSE))</f>
        <v>//ID31</v>
      </c>
      <c r="J253" s="208" t="str">
        <f xml:space="preserve"> VLOOKUP(bitand(表格4_711[[#This Row],[DEC]],8-1),表格2[],2,FALSE)</f>
        <v>_Spread</v>
      </c>
      <c r="K253" s="168" t="str">
        <f>CONCATENATE(表格4_711[[#This Row],[反應]],表格4_711[[#This Row],[補正]]," = ",表格4_711[[#This Row],[DEC]],",")</f>
        <v>//ID31_Spread = 251,</v>
      </c>
      <c r="L2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應31_散播",</v>
      </c>
    </row>
    <row r="254" spans="2:12" x14ac:dyDescent="0.25">
      <c r="B254" s="99">
        <f t="shared" ref="B254:B256" si="11">ROW()-2</f>
        <v>252</v>
      </c>
      <c r="C254" s="125" t="str">
        <f>DEC2BIN(表格4_711[[#This Row],[DEC]]/2^($A$1-COLUMN()),3)</f>
        <v>111</v>
      </c>
      <c r="D254" s="126">
        <f>IF(ISODD( INT(表格4_711[[#This Row],[DEC]]/(2^($A$1-COLUMN())))),1,0)</f>
        <v>1</v>
      </c>
      <c r="E254" s="126">
        <f>IF(ISODD( INT(表格4_711[[#This Row],[DEC]]/(2^($A$1-COLUMN())))),1,0)</f>
        <v>1</v>
      </c>
      <c r="F254" s="127">
        <f>IF(ISODD( INT(表格4_711[[#This Row],[DEC]]/(2^($A$1-COLUMN())))),1,0)</f>
        <v>1</v>
      </c>
      <c r="G254" s="126">
        <f>IF(ISODD( INT(表格4_711[[#This Row],[DEC]]/(2^($A$1-COLUMN())))),1,0)</f>
        <v>0</v>
      </c>
      <c r="H254" s="126">
        <f>IF(ISODD( INT(表格4_711[[#This Row],[DEC]]/(2^($A$1-COLUMN())))),1,0)</f>
        <v>0</v>
      </c>
      <c r="I254" s="212" t="str">
        <f xml:space="preserve"> IF(bitand(表格4_711[[#This Row],[DEC]],7)&lt;1,"//", VLOOKUP(INT(表格4_711[[#This Row],[DEC]]/8),表格4_7112[],5,FALSE))</f>
        <v>//ID31</v>
      </c>
      <c r="J254" s="147" t="str">
        <f xml:space="preserve"> VLOOKUP(bitand(表格4_711[[#This Row],[DEC]],8-1),表格2[],2,FALSE)</f>
        <v>_RangeDown</v>
      </c>
      <c r="K254" s="167" t="str">
        <f>CONCATENATE(表格4_711[[#This Row],[反應]],表格4_711[[#This Row],[補正]]," = ",表格4_711[[#This Row],[DEC]],",")</f>
        <v>//ID31_RangeDown = 252,</v>
      </c>
      <c r="L25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應31_範圍降低",</v>
      </c>
    </row>
    <row r="255" spans="2:12" x14ac:dyDescent="0.25">
      <c r="B255" s="99">
        <f t="shared" si="11"/>
        <v>253</v>
      </c>
      <c r="C255" s="125" t="str">
        <f>DEC2BIN(表格4_711[[#This Row],[DEC]]/2^($A$1-COLUMN()),3)</f>
        <v>111</v>
      </c>
      <c r="D255" s="126">
        <f>IF(ISODD( INT(表格4_711[[#This Row],[DEC]]/(2^($A$1-COLUMN())))),1,0)</f>
        <v>1</v>
      </c>
      <c r="E255" s="126">
        <f>IF(ISODD( INT(表格4_711[[#This Row],[DEC]]/(2^($A$1-COLUMN())))),1,0)</f>
        <v>1</v>
      </c>
      <c r="F255" s="127">
        <f>IF(ISODD( INT(表格4_711[[#This Row],[DEC]]/(2^($A$1-COLUMN())))),1,0)</f>
        <v>1</v>
      </c>
      <c r="G255" s="126">
        <f>IF(ISODD( INT(表格4_711[[#This Row],[DEC]]/(2^($A$1-COLUMN())))),1,0)</f>
        <v>0</v>
      </c>
      <c r="H255" s="126">
        <f>IF(ISODD( INT(表格4_711[[#This Row],[DEC]]/(2^($A$1-COLUMN())))),1,0)</f>
        <v>1</v>
      </c>
      <c r="I255" s="212" t="str">
        <f xml:space="preserve"> IF(bitand(表格4_711[[#This Row],[DEC]],7)&lt;1,"//", VLOOKUP(INT(表格4_711[[#This Row],[DEC]]/8),表格4_7112[],5,FALSE))</f>
        <v>//ID31</v>
      </c>
      <c r="J255" s="147" t="str">
        <f xml:space="preserve"> VLOOKUP(bitand(表格4_711[[#This Row],[DEC]],8-1),表格2[],2,FALSE)</f>
        <v>_RangeUP</v>
      </c>
      <c r="K255" s="167" t="str">
        <f>CONCATENATE(表格4_711[[#This Row],[反應]],表格4_711[[#This Row],[補正]]," = ",表格4_711[[#This Row],[DEC]],",")</f>
        <v>//ID31_RangeUP = 253,</v>
      </c>
      <c r="L25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應31_範圍提昇",</v>
      </c>
    </row>
    <row r="256" spans="2:12" x14ac:dyDescent="0.25">
      <c r="B256" s="57">
        <f t="shared" si="11"/>
        <v>254</v>
      </c>
      <c r="C256" s="122" t="str">
        <f>DEC2BIN(表格4_711[[#This Row],[DEC]]/2^($A$1-COLUMN()),3)</f>
        <v>111</v>
      </c>
      <c r="D256" s="123">
        <f>IF(ISODD( INT(表格4_711[[#This Row],[DEC]]/(2^($A$1-COLUMN())))),1,0)</f>
        <v>1</v>
      </c>
      <c r="E256" s="123">
        <f>IF(ISODD( INT(表格4_711[[#This Row],[DEC]]/(2^($A$1-COLUMN())))),1,0)</f>
        <v>1</v>
      </c>
      <c r="F256" s="124">
        <f>IF(ISODD( INT(表格4_711[[#This Row],[DEC]]/(2^($A$1-COLUMN())))),1,0)</f>
        <v>1</v>
      </c>
      <c r="G256" s="123">
        <f>IF(ISODD( INT(表格4_711[[#This Row],[DEC]]/(2^($A$1-COLUMN())))),1,0)</f>
        <v>1</v>
      </c>
      <c r="H256" s="123">
        <f>IF(ISODD( INT(表格4_711[[#This Row],[DEC]]/(2^($A$1-COLUMN())))),1,0)</f>
        <v>0</v>
      </c>
      <c r="I256" s="212" t="str">
        <f xml:space="preserve"> IF(bitand(表格4_711[[#This Row],[DEC]],7)&lt;1,"//", VLOOKUP(INT(表格4_711[[#This Row],[DEC]]/8),表格4_7112[],5,FALSE))</f>
        <v>//ID31</v>
      </c>
      <c r="J256" s="147" t="str">
        <f xml:space="preserve"> VLOOKUP(bitand(表格4_711[[#This Row],[DEC]],8-1),表格2[],2,FALSE)</f>
        <v>_IntensityDown</v>
      </c>
      <c r="K256" s="168" t="str">
        <f>CONCATENATE(表格4_711[[#This Row],[反應]],表格4_711[[#This Row],[補正]]," = ",表格4_711[[#This Row],[DEC]],",")</f>
        <v>//ID31_IntensityDown = 254,</v>
      </c>
      <c r="L2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應31_強度降低",</v>
      </c>
    </row>
    <row r="257" spans="2:12" x14ac:dyDescent="0.25">
      <c r="B257" s="57">
        <f>ROW()-2</f>
        <v>255</v>
      </c>
      <c r="C257" s="122" t="str">
        <f>DEC2BIN(表格4_711[[#This Row],[DEC]]/2^($A$1-COLUMN()),3)</f>
        <v>111</v>
      </c>
      <c r="D257" s="123">
        <f>IF(ISODD( INT(表格4_711[[#This Row],[DEC]]/(2^($A$1-COLUMN())))),1,0)</f>
        <v>1</v>
      </c>
      <c r="E257" s="123">
        <f>IF(ISODD( INT(表格4_711[[#This Row],[DEC]]/(2^($A$1-COLUMN())))),1,0)</f>
        <v>1</v>
      </c>
      <c r="F257" s="124">
        <f>IF(ISODD( INT(表格4_711[[#This Row],[DEC]]/(2^($A$1-COLUMN())))),1,0)</f>
        <v>1</v>
      </c>
      <c r="G257" s="123">
        <f>IF(ISODD( INT(表格4_711[[#This Row],[DEC]]/(2^($A$1-COLUMN())))),1,0)</f>
        <v>1</v>
      </c>
      <c r="H257" s="123">
        <f>IF(ISODD( INT(表格4_711[[#This Row],[DEC]]/(2^($A$1-COLUMN())))),1,0)</f>
        <v>1</v>
      </c>
      <c r="I257" s="212" t="str">
        <f xml:space="preserve"> IF(bitand(表格4_711[[#This Row],[DEC]],7)&lt;1,"//", VLOOKUP(INT(表格4_711[[#This Row],[DEC]]/8),表格4_7112[],5,FALSE))</f>
        <v>//ID31</v>
      </c>
      <c r="J257" s="147" t="str">
        <f xml:space="preserve"> VLOOKUP(bitand(表格4_711[[#This Row],[DEC]],8-1),表格2[],2,FALSE)</f>
        <v>_IntensityUp</v>
      </c>
      <c r="K257" s="168" t="str">
        <f>CONCATENATE(表格4_711[[#This Row],[反應]],表格4_711[[#This Row],[補正]]," = ",表格4_711[[#This Row],[DEC]],",")</f>
        <v>//ID31_IntensityUp = 255,</v>
      </c>
      <c r="L2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應31_強度提昇",</v>
      </c>
    </row>
  </sheetData>
  <phoneticPr fontId="2" type="noConversion"/>
  <conditionalFormatting sqref="G2:H257 D2:E257">
    <cfRule type="cellIs" dxfId="1" priority="5" operator="greaterThan">
      <formula>0</formula>
    </cfRule>
  </conditionalFormatting>
  <conditionalFormatting sqref="F2:F257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30"/>
  <sheetViews>
    <sheetView tabSelected="1" workbookViewId="0">
      <selection activeCell="G23" sqref="G23"/>
    </sheetView>
  </sheetViews>
  <sheetFormatPr defaultRowHeight="16.5" x14ac:dyDescent="0.25"/>
  <sheetData>
    <row r="2" spans="2:9" x14ac:dyDescent="0.25">
      <c r="B2" t="s">
        <v>298</v>
      </c>
      <c r="C2" t="s">
        <v>299</v>
      </c>
      <c r="D2" t="s">
        <v>300</v>
      </c>
    </row>
    <row r="3" spans="2:9" x14ac:dyDescent="0.25">
      <c r="F3" t="s">
        <v>286</v>
      </c>
      <c r="G3" t="s">
        <v>290</v>
      </c>
      <c r="H3" s="225" t="s">
        <v>294</v>
      </c>
      <c r="I3" t="s">
        <v>257</v>
      </c>
    </row>
    <row r="4" spans="2:9" x14ac:dyDescent="0.25">
      <c r="F4" t="s">
        <v>287</v>
      </c>
      <c r="G4" s="225" t="s">
        <v>291</v>
      </c>
      <c r="H4" t="s">
        <v>295</v>
      </c>
      <c r="I4" t="s">
        <v>258</v>
      </c>
    </row>
    <row r="5" spans="2:9" x14ac:dyDescent="0.25">
      <c r="F5" s="225" t="s">
        <v>288</v>
      </c>
      <c r="G5" s="225" t="s">
        <v>292</v>
      </c>
      <c r="H5" s="225" t="s">
        <v>296</v>
      </c>
      <c r="I5" t="s">
        <v>259</v>
      </c>
    </row>
    <row r="6" spans="2:9" x14ac:dyDescent="0.25">
      <c r="F6" t="s">
        <v>289</v>
      </c>
      <c r="G6" t="s">
        <v>293</v>
      </c>
      <c r="H6" t="s">
        <v>297</v>
      </c>
      <c r="I6" t="s">
        <v>218</v>
      </c>
    </row>
    <row r="17" spans="5:5" x14ac:dyDescent="0.25">
      <c r="E17" t="s">
        <v>301</v>
      </c>
    </row>
    <row r="18" spans="5:5" x14ac:dyDescent="0.25">
      <c r="E18" t="s">
        <v>302</v>
      </c>
    </row>
    <row r="19" spans="5:5" x14ac:dyDescent="0.25">
      <c r="E19" t="s">
        <v>303</v>
      </c>
    </row>
    <row r="20" spans="5:5" x14ac:dyDescent="0.25">
      <c r="E20" t="s">
        <v>311</v>
      </c>
    </row>
    <row r="22" spans="5:5" x14ac:dyDescent="0.25">
      <c r="E22" t="s">
        <v>309</v>
      </c>
    </row>
    <row r="23" spans="5:5" x14ac:dyDescent="0.25">
      <c r="E23" t="s">
        <v>310</v>
      </c>
    </row>
    <row r="24" spans="5:5" x14ac:dyDescent="0.25">
      <c r="E24" t="s">
        <v>307</v>
      </c>
    </row>
    <row r="25" spans="5:5" x14ac:dyDescent="0.25">
      <c r="E25" t="s">
        <v>308</v>
      </c>
    </row>
    <row r="27" spans="5:5" x14ac:dyDescent="0.25">
      <c r="E27" t="s">
        <v>304</v>
      </c>
    </row>
    <row r="28" spans="5:5" x14ac:dyDescent="0.25">
      <c r="E28" t="s">
        <v>305</v>
      </c>
    </row>
    <row r="30" spans="5:5" x14ac:dyDescent="0.25">
      <c r="E30" t="s">
        <v>306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7</vt:i4>
      </vt:variant>
    </vt:vector>
  </HeadingPairs>
  <TitlesOfParts>
    <vt:vector size="15" baseType="lpstr">
      <vt:lpstr>群組</vt:lpstr>
      <vt:lpstr>硬度</vt:lpstr>
      <vt:lpstr>狀態</vt:lpstr>
      <vt:lpstr>原子</vt:lpstr>
      <vt:lpstr>工作表3</vt:lpstr>
      <vt:lpstr>AtomType</vt:lpstr>
      <vt:lpstr>RequestType</vt:lpstr>
      <vt:lpstr>工作表1</vt:lpstr>
      <vt:lpstr>AtomType!狀態</vt:lpstr>
      <vt:lpstr>狀態</vt:lpstr>
      <vt:lpstr>AtomType!硬度</vt:lpstr>
      <vt:lpstr>硬度</vt:lpstr>
      <vt:lpstr>AtomType!群組</vt:lpstr>
      <vt:lpstr>群組</vt:lpstr>
      <vt:lpstr>狀態!賦予內容設定展開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2018-02-24T23:44:49Z</dcterms:modified>
</cp:coreProperties>
</file>